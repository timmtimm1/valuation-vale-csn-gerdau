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remissas" sheetId="2" state="visible" r:id="rId2"/>
    <sheet name="Histórico" sheetId="3" state="visible" r:id="rId3"/>
    <sheet name="Projeção" sheetId="4" state="visible" r:id="rId4"/>
    <sheet name="Múltiplos" sheetId="5" state="visible" r:id="rId5"/>
    <sheet name="DCF" sheetId="6" state="visible" r:id="rId6"/>
    <sheet name="WACC" sheetId="7" state="visible" r:id="rId7"/>
    <sheet name="Cená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;[Red]-0.0%"/>
    <numFmt numFmtId="165" formatCode="0.00%;[Red]-0.00%"/>
    <numFmt numFmtId="166" formatCode="#,##0;[Red]-#,##0"/>
    <numFmt numFmtId="167" formatCode="0.00&quot;x&quot;"/>
    <numFmt numFmtId="168" formatCode="yyyy-mm-dd"/>
    <numFmt numFmtId="169" formatCode="DD/MM/YYYY"/>
    <numFmt numFmtId="170" formatCode="0.000"/>
    <numFmt numFmtId="171" formatCode="#,##0.0"/>
    <numFmt numFmtId="172" formatCode="&quot;R$&quot; #,##0.00;[Red]-&quot;R$&quot; #,##0.00"/>
    <numFmt numFmtId="173" formatCode="0.0000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</font>
    <font>
      <color rgb="000000FF"/>
    </font>
    <font>
      <b val="1"/>
      <color rgb="00FFFFFF"/>
    </font>
    <font/>
    <font>
      <i val="1"/>
      <color rgb="00C0000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  <xf numFmtId="49" fontId="0" fillId="0" borderId="0" pivotButton="0" quotePrefix="0" xfId="0"/>
    <xf numFmtId="0" fontId="3" fillId="0" borderId="0" pivotButton="0" quotePrefix="0" xfId="0"/>
    <xf numFmtId="172" fontId="3" fillId="4" borderId="0" pivotButton="0" quotePrefix="0" xfId="0"/>
    <xf numFmtId="172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4" fillId="2" borderId="0" pivotButton="0" quotePrefix="0" xfId="0"/>
    <xf numFmtId="164" fontId="3" fillId="4" borderId="0" pivotButton="0" quotePrefix="0" xfId="0"/>
    <xf numFmtId="164" fontId="4" fillId="2" borderId="0" pivotButton="0" quotePrefix="0" xfId="0"/>
    <xf numFmtId="165" fontId="3" fillId="4" borderId="0" pivotButton="0" quotePrefix="0" xfId="0"/>
    <xf numFmtId="165" fontId="4" fillId="2" borderId="0" pivotButton="0" quotePrefix="0" xfId="0"/>
    <xf numFmtId="166" fontId="4" fillId="2" borderId="0" pivotButton="0" quotePrefix="0" xfId="0"/>
    <xf numFmtId="1" fontId="4" fillId="2" borderId="0" pivotButton="0" quotePrefix="0" xfId="0"/>
    <xf numFmtId="2" fontId="4" fillId="2" borderId="0" pivotButton="0" quotePrefix="0" xfId="0"/>
    <xf numFmtId="167" fontId="4" fillId="2" borderId="0" pivotButton="0" quotePrefix="0" xfId="0"/>
    <xf numFmtId="169" fontId="4" fillId="2" borderId="0" pivotButton="0" quotePrefix="0" xfId="0"/>
    <xf numFmtId="170" fontId="4" fillId="2" borderId="0" pivotButton="0" quotePrefix="0" xfId="0"/>
    <xf numFmtId="171" fontId="4" fillId="2" borderId="0" pivotButton="0" quotePrefix="0" xfId="0"/>
    <xf numFmtId="172" fontId="4" fillId="2" borderId="0" pivotButton="0" quotePrefix="0" xfId="0"/>
    <xf numFmtId="0" fontId="3" fillId="5" borderId="0" pivotButton="0" quotePrefix="0" xfId="0"/>
    <xf numFmtId="0" fontId="0" fillId="5" borderId="0" pivotButton="0" quotePrefix="0" xfId="0"/>
    <xf numFmtId="1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6" fontId="3" fillId="0" borderId="0" pivotButton="0" quotePrefix="0" xfId="0"/>
    <xf numFmtId="0" fontId="0" fillId="0" borderId="0" applyAlignment="1" pivotButton="0" quotePrefix="0" xfId="0">
      <alignment horizontal="right"/>
    </xf>
    <xf numFmtId="172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7" fontId="3" fillId="5" borderId="0" pivotButton="0" quotePrefix="0" xfId="0"/>
    <xf numFmtId="0" fontId="5" fillId="3" borderId="0" pivotButton="0" quotePrefix="0" xfId="0"/>
    <xf numFmtId="170" fontId="0" fillId="0" borderId="0" pivotButton="0" quotePrefix="0" xfId="0"/>
    <xf numFmtId="173" fontId="0" fillId="0" borderId="0" pivotButton="0" quotePrefix="0" xfId="0"/>
    <xf numFmtId="171" fontId="0" fillId="0" borderId="0" pivotButton="0" quotePrefix="0" xfId="0"/>
    <xf numFmtId="164" fontId="5" fillId="3" borderId="0" pivotButton="0" quotePrefix="0" xfId="0"/>
    <xf numFmtId="164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FCFF projetado (R$ milhões)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'Projeção'!$D$4:$H$4</f>
            </numRef>
          </cat>
          <val>
            <numRef>
              <f>'Projeção'!$D$31:$H$31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50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8" customWidth="1" min="2" max="2"/>
    <col width="2" customWidth="1" min="3" max="3"/>
    <col width="16" customWidth="1" min="4" max="4"/>
    <col width="4" customWidth="1" min="5" max="5"/>
  </cols>
  <sheetData>
    <row r="1">
      <c r="B1" s="1" t="inlineStr">
        <is>
          <t>Valuation - Gerdau (GGBR4)</t>
        </is>
      </c>
    </row>
    <row r="2">
      <c r="B2" s="2" t="inlineStr">
        <is>
          <t>Data-base 2026-06-30. Dados públicos da CVM e da B3. R$ milhões, salvo indicação.</t>
        </is>
      </c>
    </row>
    <row r="3">
      <c r="B3" s="3" t="inlineStr">
        <is>
          <t>Estudo acadêmico e de portfólio. Não é recomendação de compra ou venda. O resultado depende das premissas da aba Premissas, que nesta versão são uma proposta automática ainda não revisada.</t>
        </is>
      </c>
    </row>
    <row r="5">
      <c r="B5" s="4" t="inlineStr">
        <is>
          <t>Resultado no cenário em uso</t>
        </is>
      </c>
      <c r="C5" s="5" t="n"/>
      <c r="D5" s="5" t="inlineStr">
        <is>
          <t>Valor</t>
        </is>
      </c>
    </row>
    <row r="6">
      <c r="B6" s="6" t="inlineStr">
        <is>
          <t>Cenário</t>
        </is>
      </c>
      <c r="D6" s="7">
        <f>'Premissas'!D4</f>
        <v/>
      </c>
    </row>
    <row r="7">
      <c r="B7" s="8" t="inlineStr">
        <is>
          <t>Preço justo por ação (DCF)</t>
        </is>
      </c>
      <c r="D7" s="9">
        <f>'DCF'!$D$30</f>
        <v/>
      </c>
    </row>
    <row r="8">
      <c r="B8" s="6" t="inlineStr">
        <is>
          <t>Preço de mercado</t>
        </is>
      </c>
      <c r="D8" s="10">
        <f>'DCF'!D31</f>
        <v/>
      </c>
    </row>
    <row r="9">
      <c r="B9" s="6" t="inlineStr">
        <is>
          <t>Diferença para o mercado</t>
        </is>
      </c>
      <c r="D9" s="11">
        <f>'DCF'!$D$32</f>
        <v/>
      </c>
    </row>
    <row r="10">
      <c r="B10" s="6" t="inlineStr">
        <is>
          <t>Valor da empresa (EV)</t>
        </is>
      </c>
      <c r="D10" s="12">
        <f>'DCF'!$D$23</f>
        <v/>
      </c>
    </row>
    <row r="11">
      <c r="B11" s="6" t="inlineStr">
        <is>
          <t>Valor do acionista</t>
        </is>
      </c>
      <c r="D11" s="12">
        <f>'DCF'!$D$28</f>
        <v/>
      </c>
    </row>
    <row r="12">
      <c r="B12" s="6" t="inlineStr">
        <is>
          <t>WACC</t>
        </is>
      </c>
      <c r="D12" s="11">
        <f>'DCF'!D14</f>
        <v/>
      </c>
    </row>
    <row r="13">
      <c r="B13" s="6" t="inlineStr">
        <is>
          <t>Custo do capital próprio (Ke)</t>
        </is>
      </c>
      <c r="D13" s="11">
        <f>'DCF'!D40</f>
        <v/>
      </c>
    </row>
    <row r="14">
      <c r="B14" s="6" t="inlineStr">
        <is>
          <t>Crescimento na perpetuidade</t>
        </is>
      </c>
      <c r="D14" s="11">
        <f>'DCF'!D15</f>
        <v/>
      </c>
    </row>
    <row r="15">
      <c r="B15" s="6" t="inlineStr">
        <is>
          <t>Peso do valor terminal</t>
        </is>
      </c>
      <c r="D15" s="11">
        <f>'DCF'!D33</f>
        <v/>
      </c>
    </row>
    <row r="16">
      <c r="B16" s="6" t="inlineStr">
        <is>
          <t>Preço pelo fluxo do acionista (FCFE)</t>
        </is>
      </c>
      <c r="D16" s="10">
        <f>'DCF'!D44</f>
        <v/>
      </c>
    </row>
    <row r="18">
      <c r="B18" s="4" t="inlineStr">
        <is>
          <t>Como ler a planilha</t>
        </is>
      </c>
      <c r="C18" s="5" t="n"/>
      <c r="D18" s="5" t="inlineStr">
        <is>
          <t>Aba</t>
        </is>
      </c>
    </row>
    <row r="19">
      <c r="B19" t="inlineStr">
        <is>
          <t>Os três cenários, o ajuste manual e as demais entradas. Comece por aqui.</t>
        </is>
      </c>
      <c r="D19" s="8" t="inlineStr">
        <is>
          <t>Premissas</t>
        </is>
      </c>
    </row>
    <row r="20">
      <c r="B20" t="inlineStr">
        <is>
          <t>DRE, balanço e fluxo de caixa da CVM, com indicadores.</t>
        </is>
      </c>
      <c r="D20" s="8" t="inlineStr">
        <is>
          <t>Histórico</t>
        </is>
      </c>
    </row>
    <row r="21">
      <c r="B21" t="inlineStr">
        <is>
          <t>Receita, custos, capex, depreciação, giro e as três demonstrações ligadas.</t>
        </is>
      </c>
      <c r="D21" s="8" t="inlineStr">
        <is>
          <t>Projeção</t>
        </is>
      </c>
    </row>
    <row r="22">
      <c r="B22" t="inlineStr">
        <is>
          <t>EV/EBITDA, P/L e P/VP contra as comparáveis.</t>
        </is>
      </c>
      <c r="D22" s="8" t="inlineStr">
        <is>
          <t>Múltiplos</t>
        </is>
      </c>
    </row>
    <row r="23">
      <c r="B23" t="inlineStr">
        <is>
          <t>FCFF e FCFE descontados, valor da empresa, valor do acionista, sensibilidade.</t>
        </is>
      </c>
      <c r="D23" s="8" t="inlineStr">
        <is>
          <t>DCF</t>
        </is>
      </c>
    </row>
    <row r="24">
      <c r="B24" t="inlineStr">
        <is>
          <t>CAPM, custo médio ponderado de capital e o ajuste do cenário.</t>
        </is>
      </c>
      <c r="D24" s="8" t="inlineStr">
        <is>
          <t>WACC</t>
        </is>
      </c>
    </row>
    <row r="25">
      <c r="B25" t="inlineStr">
        <is>
          <t>Entradas e saídas de caixa e comparativo pessimista, moderado e otimista.</t>
        </is>
      </c>
      <c r="D25" s="8" t="inlineStr">
        <is>
          <t>Cenários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4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90" customWidth="1" min="9" max="9"/>
  </cols>
  <sheetData>
    <row r="1">
      <c r="B1" s="1" t="inlineStr">
        <is>
          <t>Premissas - Gerdau (GGBR4)</t>
        </is>
      </c>
    </row>
    <row r="2">
      <c r="B2" s="2" t="inlineStr">
        <is>
          <t>Células azuis em fundo amarelo são entradas: troque e a planilha inteira recalcula. PROPOSTA AUTOMÁTICA, AINDA NÃO APROVADA</t>
        </is>
      </c>
    </row>
    <row r="3">
      <c r="L3" s="8" t="inlineStr">
        <is>
          <t>Cenários</t>
        </is>
      </c>
    </row>
    <row r="4">
      <c r="B4" s="8" t="inlineStr">
        <is>
          <t>Cenário em uso</t>
        </is>
      </c>
      <c r="D4" s="13" t="inlineStr">
        <is>
          <t>Moderado</t>
        </is>
      </c>
      <c r="L4" t="inlineStr">
        <is>
          <t>Pessimista</t>
        </is>
      </c>
    </row>
    <row r="5">
      <c r="B5" t="inlineStr">
        <is>
          <t>Número do cenário (1 pessimista, 2 moderado, 3 otimista)</t>
        </is>
      </c>
      <c r="D5">
        <f>MATCH(D4,L4:L6,0)</f>
        <v/>
      </c>
      <c r="L5" t="inlineStr">
        <is>
          <t>Moderado</t>
        </is>
      </c>
    </row>
    <row r="6">
      <c r="L6" t="inlineStr">
        <is>
          <t>Otimista</t>
        </is>
      </c>
    </row>
    <row r="7">
      <c r="B7" s="4" t="inlineStr">
        <is>
          <t>Variáveis de cenário</t>
        </is>
      </c>
      <c r="C7" s="5" t="inlineStr">
        <is>
          <t>Em uso</t>
        </is>
      </c>
      <c r="D7" s="5" t="inlineStr">
        <is>
          <t>Partida 2026</t>
        </is>
      </c>
      <c r="E7" s="5" t="inlineStr">
        <is>
          <t>Pessimista</t>
        </is>
      </c>
      <c r="F7" s="5" t="inlineStr">
        <is>
          <t>Moderado</t>
        </is>
      </c>
      <c r="G7" s="5" t="inlineStr">
        <is>
          <t>Otimista</t>
        </is>
      </c>
      <c r="H7" s="5" t="inlineStr">
        <is>
          <t>Ajuste manual</t>
        </is>
      </c>
      <c r="I7" s="5" t="inlineStr">
        <is>
          <t>De onde veio</t>
        </is>
      </c>
    </row>
    <row r="8">
      <c r="B8" s="8" t="inlineStr">
        <is>
          <t>Crescimento da receita, ao ano (2027 a 2030)</t>
        </is>
      </c>
      <c r="C8" s="14">
        <f>IF(ISNUMBER(H8),MIN(MAX(H8,MIN(E8:G8)),MAX(E8:G8)),CHOOSE($D$5,E8,F8,G8))</f>
        <v/>
      </c>
      <c r="D8" s="15" t="n">
        <v>-0.0045</v>
      </c>
      <c r="E8" s="15" t="n">
        <v>0</v>
      </c>
      <c r="F8" s="15" t="n">
        <v>0.0378</v>
      </c>
      <c r="G8" s="15" t="n">
        <v>0.061</v>
      </c>
      <c r="H8" s="15" t="n"/>
      <c r="I8" s="2" t="inlineStr">
        <is>
          <t>2026: nível dos últimos 12 meses (LTM 2T26). Pessimista: receita parada, ou seja, queda real. Moderado: inflação esperada no Focus para 2027-2030, crescimento real zero. Otimista: crescimento médio da receita de 2018 a 2025 (6.1% ao ano).</t>
        </is>
      </c>
    </row>
    <row r="9">
      <c r="B9" s="8" t="inlineStr">
        <is>
          <t>Margem EBITDA em 2030</t>
        </is>
      </c>
      <c r="C9" s="14">
        <f>IF(ISNUMBER(H9),MIN(MAX(H9,MIN(E9:G9)),MAX(E9:G9)),CHOOSE($D$5,E9,F9,G9))</f>
        <v/>
      </c>
      <c r="D9" s="15" t="n">
        <v>0.1538</v>
      </c>
      <c r="E9" s="15" t="n">
        <v>0.1613</v>
      </c>
      <c r="F9" s="15" t="n">
        <v>0.1971</v>
      </c>
      <c r="G9" s="15" t="n">
        <v>0.2506</v>
      </c>
      <c r="H9" s="15" t="n"/>
      <c r="I9" s="2" t="inlineStr">
        <is>
          <t>2026: nível dos últimos 12 meses (LTM 2T26). Daí até 2030 em linha reta. Faixa: margem EBITDA de 2021 a 2025, sem perdas por recuperabilidade. Pessimista é o segundo pior ano, moderado a mediana e otimista o segundo melhor.</t>
        </is>
      </c>
    </row>
    <row r="10">
      <c r="B10" s="8" t="inlineStr">
        <is>
          <t>WACC: pontos acima ou abaixo do CAPM</t>
        </is>
      </c>
      <c r="C10" s="16">
        <f>IF(ISNUMBER(H10),MIN(MAX(H10,MIN(E10:G10)),MAX(E10:G10)),CHOOSE($D$5,E10,F10,G10))</f>
        <v/>
      </c>
      <c r="E10" s="17" t="n">
        <v>0.0156</v>
      </c>
      <c r="F10" s="17" t="n">
        <v>0</v>
      </c>
      <c r="G10" s="17" t="n">
        <v>-0.0156</v>
      </c>
      <c r="H10" s="17" t="n"/>
      <c r="I10" s="2" t="inlineStr">
        <is>
          <t>Moderado: o WACC que sai do CAPM. O juro prefixado longo andou de 12.2% a 15.3% nos últimos dois anos; pessimista e otimista deslocam o WACC em metade dessa amplitude.</t>
        </is>
      </c>
    </row>
    <row r="11">
      <c r="B11" s="2" t="inlineStr">
        <is>
          <t>Ajuste manual vazio = vale o cenário escolhido acima.</t>
        </is>
      </c>
    </row>
    <row r="13">
      <c r="B13" s="4" t="inlineStr">
        <is>
          <t>Do cenário para cada ano (o que a projeção lê)</t>
        </is>
      </c>
      <c r="C13" s="5" t="n"/>
      <c r="D13" s="5" t="inlineStr">
        <is>
          <t>2026E</t>
        </is>
      </c>
      <c r="E13" s="5" t="inlineStr">
        <is>
          <t>2027E</t>
        </is>
      </c>
      <c r="F13" s="5" t="inlineStr">
        <is>
          <t>2028E</t>
        </is>
      </c>
      <c r="G13" s="5" t="inlineStr">
        <is>
          <t>2029E</t>
        </is>
      </c>
      <c r="H13" s="5" t="inlineStr">
        <is>
          <t>2030E</t>
        </is>
      </c>
    </row>
    <row r="14">
      <c r="B14" s="6" t="inlineStr">
        <is>
          <t>Crescimento da receita</t>
        </is>
      </c>
      <c r="D14" s="11">
        <f>$D$8</f>
        <v/>
      </c>
      <c r="E14" s="11">
        <f>$C$8</f>
        <v/>
      </c>
      <c r="F14" s="11">
        <f>$C$8</f>
        <v/>
      </c>
      <c r="G14" s="11">
        <f>$C$8</f>
        <v/>
      </c>
      <c r="H14" s="11">
        <f>$C$8</f>
        <v/>
      </c>
    </row>
    <row r="15">
      <c r="B15" s="6" t="inlineStr">
        <is>
          <t>Margem EBITDA</t>
        </is>
      </c>
      <c r="D15" s="11">
        <f>$D$9+($C$9-$D$9)*0/4</f>
        <v/>
      </c>
      <c r="E15" s="11">
        <f>$D$9+($C$9-$D$9)*1/4</f>
        <v/>
      </c>
      <c r="F15" s="11">
        <f>$D$9+($C$9-$D$9)*2/4</f>
        <v/>
      </c>
      <c r="G15" s="11">
        <f>$D$9+($C$9-$D$9)*3/4</f>
        <v/>
      </c>
      <c r="H15" s="11">
        <f>$D$9+($C$9-$D$9)*4/4</f>
        <v/>
      </c>
    </row>
    <row r="17">
      <c r="B17" s="4" t="inlineStr">
        <is>
          <t>Premissas iguais nos três cenários (editáveis)</t>
        </is>
      </c>
      <c r="C17" s="5" t="n"/>
      <c r="D17" s="5" t="inlineStr">
        <is>
          <t>2026E</t>
        </is>
      </c>
      <c r="E17" s="5" t="inlineStr">
        <is>
          <t>2027E</t>
        </is>
      </c>
      <c r="F17" s="5" t="inlineStr">
        <is>
          <t>2028E</t>
        </is>
      </c>
      <c r="G17" s="5" t="inlineStr">
        <is>
          <t>2029E</t>
        </is>
      </c>
      <c r="H17" s="5" t="inlineStr">
        <is>
          <t>2030E</t>
        </is>
      </c>
      <c r="I17" s="5" t="inlineStr">
        <is>
          <t>De onde veio</t>
        </is>
      </c>
    </row>
    <row r="18">
      <c r="B18" s="6" t="inlineStr">
        <is>
          <t>Despesas operacionais (% da receita)</t>
        </is>
      </c>
      <c r="D18" s="15" t="n">
        <v>0.0332</v>
      </c>
      <c r="E18" s="15" t="n">
        <v>0.0315</v>
      </c>
      <c r="F18" s="15" t="n">
        <v>0.0297</v>
      </c>
      <c r="G18" s="15" t="n">
        <v>0.0279</v>
      </c>
      <c r="H18" s="15" t="n">
        <v>0.0261</v>
      </c>
      <c r="I18" s="2" t="inlineStr">
        <is>
          <t>Vendas, administrativas e outras, sem perdas por recuperabilidade. Do nível dos últimos 12 meses até a mediana de 2021-2025.</t>
        </is>
      </c>
    </row>
    <row r="19">
      <c r="B19" s="6" t="inlineStr">
        <is>
          <t>Equivalência patrimonial (R$ milhões)</t>
        </is>
      </c>
      <c r="D19" s="18" t="n">
        <v>563.158</v>
      </c>
      <c r="E19" s="18" t="n">
        <v>563.158</v>
      </c>
      <c r="F19" s="18" t="n">
        <v>563.158</v>
      </c>
      <c r="G19" s="18" t="n">
        <v>563.158</v>
      </c>
      <c r="H19" s="18" t="n">
        <v>563.158</v>
      </c>
      <c r="I19" s="2" t="inlineStr">
        <is>
          <t>Mediana de 2021-2025, mantida.</t>
        </is>
      </c>
    </row>
    <row r="20">
      <c r="B20" s="6" t="inlineStr">
        <is>
          <t>Investimento - capex (% da receita)</t>
        </is>
      </c>
      <c r="D20" s="15" t="n">
        <v>0.0779</v>
      </c>
      <c r="E20" s="15" t="n">
        <v>0.07729999999999999</v>
      </c>
      <c r="F20" s="15" t="n">
        <v>0.0767</v>
      </c>
      <c r="G20" s="15" t="n">
        <v>0.0762</v>
      </c>
      <c r="H20" s="15" t="n">
        <v>0.0756</v>
      </c>
      <c r="I20" s="2" t="inlineStr">
        <is>
          <t>Do nível dos últimos 12 meses até a mediana de 2021-2025.</t>
        </is>
      </c>
    </row>
    <row r="21">
      <c r="B21" s="6" t="inlineStr">
        <is>
          <t>Depreciação (% do ativo fixo inicial)</t>
        </is>
      </c>
      <c r="D21" s="15" t="n">
        <v>0.0887</v>
      </c>
      <c r="E21" s="15" t="n">
        <v>0.0887</v>
      </c>
      <c r="F21" s="15" t="n">
        <v>0.0887</v>
      </c>
      <c r="G21" s="15" t="n">
        <v>0.0887</v>
      </c>
      <c r="H21" s="15" t="n">
        <v>0.0887</v>
      </c>
      <c r="I21" s="2" t="inlineStr">
        <is>
          <t>Mediana de 2021-2025, mantida.</t>
        </is>
      </c>
    </row>
    <row r="22">
      <c r="B22" s="6" t="inlineStr">
        <is>
          <t>Prazo médio de recebimento (dias)</t>
        </is>
      </c>
      <c r="D22" s="19" t="n">
        <v>25.1348</v>
      </c>
      <c r="E22" s="19" t="n">
        <v>25.1348</v>
      </c>
      <c r="F22" s="19" t="n">
        <v>25.1348</v>
      </c>
      <c r="G22" s="19" t="n">
        <v>25.1348</v>
      </c>
      <c r="H22" s="19" t="n">
        <v>25.1348</v>
      </c>
      <c r="I22" s="2" t="inlineStr">
        <is>
          <t>Prazo de 2025, mantido.</t>
        </is>
      </c>
    </row>
    <row r="23">
      <c r="B23" s="6" t="inlineStr">
        <is>
          <t>Prazo médio de estoque (dias)</t>
        </is>
      </c>
      <c r="D23" s="19" t="n">
        <v>92.3738</v>
      </c>
      <c r="E23" s="19" t="n">
        <v>92.3738</v>
      </c>
      <c r="F23" s="19" t="n">
        <v>92.3738</v>
      </c>
      <c r="G23" s="19" t="n">
        <v>92.3738</v>
      </c>
      <c r="H23" s="19" t="n">
        <v>92.3738</v>
      </c>
      <c r="I23" s="2" t="inlineStr">
        <is>
          <t>Prazo de 2025, mantido.</t>
        </is>
      </c>
    </row>
    <row r="24">
      <c r="B24" s="6" t="inlineStr">
        <is>
          <t>Prazo médio de pagamento (dias)</t>
        </is>
      </c>
      <c r="D24" s="19" t="n">
        <v>31.414</v>
      </c>
      <c r="E24" s="19" t="n">
        <v>31.414</v>
      </c>
      <c r="F24" s="19" t="n">
        <v>31.414</v>
      </c>
      <c r="G24" s="19" t="n">
        <v>31.414</v>
      </c>
      <c r="H24" s="19" t="n">
        <v>31.414</v>
      </c>
      <c r="I24" s="2" t="inlineStr">
        <is>
          <t>Prazo de 2025, mantido.</t>
        </is>
      </c>
    </row>
    <row r="25">
      <c r="B25" s="6" t="inlineStr">
        <is>
          <t>Captação líquida de dívida (R$ milhões)</t>
        </is>
      </c>
      <c r="D25" s="18" t="n">
        <v>0</v>
      </c>
      <c r="E25" s="18" t="n">
        <v>0</v>
      </c>
      <c r="F25" s="18" t="n">
        <v>0</v>
      </c>
      <c r="G25" s="18" t="n">
        <v>0</v>
      </c>
      <c r="H25" s="18" t="n">
        <v>0</v>
      </c>
      <c r="I25" s="2" t="inlineStr">
        <is>
          <t>Dívida bruta mantida no nível de 2025.</t>
        </is>
      </c>
    </row>
    <row r="27">
      <c r="B27" s="4" t="inlineStr">
        <is>
          <t>Premissas gerais</t>
        </is>
      </c>
      <c r="C27" s="5" t="n"/>
      <c r="D27" s="5" t="inlineStr">
        <is>
          <t>Valor</t>
        </is>
      </c>
      <c r="E27" s="5" t="n"/>
      <c r="F27" s="5" t="n"/>
      <c r="G27" s="5" t="n"/>
      <c r="H27" s="5" t="n"/>
      <c r="I27" s="5" t="inlineStr">
        <is>
          <t>De onde veio</t>
        </is>
      </c>
    </row>
    <row r="28">
      <c r="B28" s="6" t="inlineStr">
        <is>
          <t>Alíquota de IR e CSLL</t>
        </is>
      </c>
      <c r="D28" s="15" t="n">
        <v>0.34</v>
      </c>
      <c r="I28" s="2" t="inlineStr">
        <is>
          <t>Alíquota nominal: IRPJ 25% + CSLL 9%.</t>
        </is>
      </c>
    </row>
    <row r="29">
      <c r="B29" s="6" t="inlineStr">
        <is>
          <t>Custo da dívida antes do imposto (Kd)</t>
        </is>
      </c>
      <c r="D29" s="15" t="n">
        <v>0.1291</v>
      </c>
      <c r="I29" s="2" t="inlineStr">
        <is>
          <t>Piso: a taxa do Tesouro prefixado de dez anos, sem spread de crédito. Custo implícito mediano 2023-2025: 19.3%.</t>
        </is>
      </c>
    </row>
    <row r="30">
      <c r="B30" s="6" t="inlineStr">
        <is>
          <t>Rendimento do caixa</t>
        </is>
      </c>
      <c r="D30" s="15" t="n">
        <v>0.1235</v>
      </c>
      <c r="I30" s="2" t="inlineStr">
        <is>
          <t>Mediana 2023-2025 da receita financeira sobre o caixa médio.</t>
        </is>
      </c>
    </row>
    <row r="31">
      <c r="B31" s="6" t="inlineStr">
        <is>
          <t>Dividendos (% do lucro)</t>
        </is>
      </c>
      <c r="D31" s="15" t="n">
        <v>0.3602</v>
      </c>
      <c r="I31" s="2" t="inlineStr">
        <is>
          <t>Mediana 2021-2025 de dividendos pagos sobre lucro, limitada a 0-100%.</t>
        </is>
      </c>
    </row>
    <row r="32">
      <c r="B32" s="6" t="inlineStr">
        <is>
          <t>Juro sem risco (Rf)</t>
        </is>
      </c>
      <c r="D32" s="15" t="n">
        <v>0.1291</v>
      </c>
      <c r="I32" s="2" t="inlineStr">
        <is>
          <t>Tesouro prefixado de dez anos (em reais, nominal).</t>
        </is>
      </c>
    </row>
    <row r="33">
      <c r="B33" s="6" t="inlineStr">
        <is>
          <t>Beta</t>
        </is>
      </c>
      <c r="D33" s="20" t="n">
        <v>0.801</v>
      </c>
      <c r="I33" s="2" t="inlineStr">
        <is>
          <t>Regressão de 5 anos, retornos semanais contra o BOVA11, preços sem ajuste de proventos. Beta de 2 anos: 0.71.</t>
        </is>
      </c>
    </row>
    <row r="34">
      <c r="B34" s="6" t="inlineStr">
        <is>
          <t>Prêmio de risco de mercado</t>
        </is>
      </c>
      <c r="D34" s="15" t="n">
        <v>0.0423</v>
      </c>
      <c r="I34" s="2" t="inlineStr">
        <is>
          <t>Damodaran, mercado maduro. O risco-país já está no juro em reais.</t>
        </is>
      </c>
    </row>
    <row r="35">
      <c r="B35" s="6" t="inlineStr">
        <is>
          <t>Prêmio adicional (tamanho, risco específico)</t>
        </is>
      </c>
      <c r="D35" s="15" t="n">
        <v>0</v>
      </c>
      <c r="I35" s="2" t="inlineStr">
        <is>
          <t>Sem prêmio adicional.</t>
        </is>
      </c>
    </row>
    <row r="36">
      <c r="B36" s="6" t="inlineStr">
        <is>
          <t>Peso da dívida na estrutura de capital</t>
        </is>
      </c>
      <c r="D36" s="15" t="n">
        <v>0.2273</v>
      </c>
      <c r="I36" s="2" t="inlineStr">
        <is>
          <t>Dívida bruta do 2T26 sobre dívida mais valor de mercado.</t>
        </is>
      </c>
    </row>
    <row r="37">
      <c r="B37" s="6" t="inlineStr">
        <is>
          <t>Crescimento na perpetuidade (g)</t>
        </is>
      </c>
      <c r="D37" s="15" t="n">
        <v>0.035</v>
      </c>
      <c r="I37" s="2" t="inlineStr">
        <is>
          <t>IPCA esperado para 2030: crescimento real zero.</t>
        </is>
      </c>
    </row>
    <row r="38">
      <c r="B38" s="6" t="inlineStr">
        <is>
          <t>Capex na perpetuidade (múltiplo da depreciação)</t>
        </is>
      </c>
      <c r="D38" s="21" t="n">
        <v>1</v>
      </c>
      <c r="I38" s="2" t="inlineStr">
        <is>
          <t>Na perpetuidade a empresa reinveste o que deprecia.</t>
        </is>
      </c>
    </row>
    <row r="39">
      <c r="B39" s="6" t="inlineStr">
        <is>
          <t>Outros passivos tratados como dívida (R$ milhões)</t>
        </is>
      </c>
      <c r="D39" s="18" t="n">
        <v>0</v>
      </c>
      <c r="I39" s="2" t="inlineStr">
        <is>
          <t>Nenhum. Provisões (barragens, contingências) não entram como dívida.</t>
        </is>
      </c>
    </row>
    <row r="41">
      <c r="B41" s="4" t="inlineStr">
        <is>
          <t>Dados de mercado e datas</t>
        </is>
      </c>
      <c r="C41" s="5" t="n"/>
      <c r="D41" s="5" t="inlineStr">
        <is>
          <t>Valor</t>
        </is>
      </c>
      <c r="E41" s="5" t="n"/>
      <c r="F41" s="5" t="n"/>
      <c r="G41" s="5" t="n"/>
      <c r="H41" s="5" t="n"/>
      <c r="I41" s="5" t="inlineStr">
        <is>
          <t>Fonte</t>
        </is>
      </c>
    </row>
    <row r="42">
      <c r="B42" s="6" t="inlineStr">
        <is>
          <t>Data-base do valuation</t>
        </is>
      </c>
      <c r="D42" s="22" t="n">
        <v>46203</v>
      </c>
      <c r="I42" s="2" t="inlineStr">
        <is>
          <t>Último ITR.</t>
        </is>
      </c>
    </row>
    <row r="43">
      <c r="B43" s="6" t="inlineStr">
        <is>
          <t>Fração de 2026 que ainda falta</t>
        </is>
      </c>
      <c r="D43" s="23">
        <f>(DATE(2026,12,31)-D42)/365</f>
        <v/>
      </c>
      <c r="I43" s="2" t="inlineStr">
        <is>
          <t>Só essa parte do fluxo de 2026 entra no valor.</t>
        </is>
      </c>
    </row>
    <row r="44">
      <c r="B44" s="6" t="inlineStr">
        <is>
          <t>Ações em circulação (milhões)</t>
        </is>
      </c>
      <c r="D44" s="24" t="n">
        <v>1963.1806</v>
      </c>
      <c r="I44" s="2" t="inlineStr">
        <is>
          <t>CVM, composição do capital em 2026-06-30, sem tesouraria.</t>
        </is>
      </c>
    </row>
    <row r="45">
      <c r="B45" s="6" t="inlineStr">
        <is>
          <t>Preço da ação (R$)</t>
        </is>
      </c>
      <c r="D45" s="25" t="n">
        <v>24.77</v>
      </c>
      <c r="I45" s="2" t="inlineStr">
        <is>
          <t>B3, fechamento de 2026-10-08.</t>
        </is>
      </c>
    </row>
    <row r="46">
      <c r="B46" s="6" t="inlineStr">
        <is>
          <t>Valor de mercado (R$ milhões)</t>
        </is>
      </c>
      <c r="D46" s="18" t="n">
        <v>46089.0479</v>
      </c>
      <c r="I46" s="2" t="inlineStr">
        <is>
          <t>Ações em circulação pelo preço de cada classe.</t>
        </is>
      </c>
    </row>
  </sheetData>
  <dataValidations count="4">
    <dataValidation sqref="D4" showDropDown="0" showInputMessage="0" showErrorMessage="0" allowBlank="0" type="list">
      <formula1>$L$4:$L$6</formula1>
    </dataValidation>
    <dataValidation sqref="H8" showDropDown="0" showInputMessage="0" showErrorMessage="1" allowBlank="1" errorTitle="Fora da faixa" error="Use um valor entre o pessimista e o otimista." type="decimal" operator="between">
      <formula1>=MIN($E$8:$G$8)</formula1>
      <formula2>=MAX($E$8:$G$8)</formula2>
    </dataValidation>
    <dataValidation sqref="H9" showDropDown="0" showInputMessage="0" showErrorMessage="1" allowBlank="1" errorTitle="Fora da faixa" error="Use um valor entre o pessimista e o otimista." type="decimal" operator="between">
      <formula1>=MIN($E$9:$G$9)</formula1>
      <formula2>=MAX($E$9:$G$9)</formula2>
    </dataValidation>
    <dataValidation sqref="H10" showDropDown="0" showInputMessage="0" showErrorMessage="1" allowBlank="1" errorTitle="Fora da faixa" error="Use um valor entre o pessimista e o otimista." type="decimal" operator="between">
      <formula1>=MIN($E$10:$G$10)</formula1>
      <formula2>=MAX($E$10:$G$10)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7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4" customWidth="1" min="12" max="12"/>
  </cols>
  <sheetData>
    <row r="1">
      <c r="B1" s="1" t="inlineStr">
        <is>
          <t>Histórico - Gerdau</t>
        </is>
      </c>
    </row>
    <row r="2">
      <c r="B2" s="2" t="inlineStr">
        <is>
          <t>Fonte: demonstrações consolidadas entregues à CVM (DFP e ITR). LTM = últimos doze meses; o balanço é o do trimestre.</t>
        </is>
      </c>
    </row>
    <row r="4">
      <c r="B4" s="4" t="inlineStr">
        <is>
          <t>R$ milhões</t>
        </is>
      </c>
      <c r="C4" s="5" t="inlineStr">
        <is>
          <t>2018</t>
        </is>
      </c>
      <c r="D4" s="5" t="inlineStr">
        <is>
          <t>2019</t>
        </is>
      </c>
      <c r="E4" s="5" t="inlineStr">
        <is>
          <t>2020</t>
        </is>
      </c>
      <c r="F4" s="5" t="inlineStr">
        <is>
          <t>2021</t>
        </is>
      </c>
      <c r="G4" s="5" t="inlineStr">
        <is>
          <t>2022</t>
        </is>
      </c>
      <c r="H4" s="5" t="inlineStr">
        <is>
          <t>2023</t>
        </is>
      </c>
      <c r="I4" s="5" t="inlineStr">
        <is>
          <t>2024</t>
        </is>
      </c>
      <c r="J4" s="5" t="inlineStr">
        <is>
          <t>2025</t>
        </is>
      </c>
      <c r="K4" s="5" t="inlineStr">
        <is>
          <t>LTM 2T26</t>
        </is>
      </c>
    </row>
    <row r="5">
      <c r="B5" s="26" t="inlineStr">
        <is>
          <t>Demonstração do resultado</t>
        </is>
      </c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</row>
    <row r="6">
      <c r="B6" s="6" t="inlineStr">
        <is>
          <t>Receita líquida</t>
        </is>
      </c>
      <c r="C6" s="12" t="n">
        <v>46159.478</v>
      </c>
      <c r="D6" s="12" t="n">
        <v>39644.01</v>
      </c>
      <c r="E6" s="12" t="n">
        <v>43814.661</v>
      </c>
      <c r="F6" s="12" t="n">
        <v>78345.08100000001</v>
      </c>
      <c r="G6" s="12" t="n">
        <v>82412.21000000001</v>
      </c>
      <c r="H6" s="12" t="n">
        <v>68916.447</v>
      </c>
      <c r="I6" s="12" t="n">
        <v>67026.656</v>
      </c>
      <c r="J6" s="12" t="n">
        <v>69858.53200000001</v>
      </c>
      <c r="K6" s="12" t="n">
        <v>69543.739</v>
      </c>
    </row>
    <row r="7">
      <c r="B7" s="6" t="inlineStr">
        <is>
          <t>Custo dos produtos vendidos</t>
        </is>
      </c>
      <c r="C7" s="12" t="n">
        <v>-40010.1</v>
      </c>
      <c r="D7" s="12" t="n">
        <v>-35440.726</v>
      </c>
      <c r="E7" s="12" t="n">
        <v>-37884.102</v>
      </c>
      <c r="F7" s="12" t="n">
        <v>-57527.721</v>
      </c>
      <c r="G7" s="12" t="n">
        <v>-63661.156</v>
      </c>
      <c r="H7" s="12" t="n">
        <v>-57583.992</v>
      </c>
      <c r="I7" s="12" t="n">
        <v>-57823.416</v>
      </c>
      <c r="J7" s="12" t="n">
        <v>-61891.039</v>
      </c>
      <c r="K7" s="12" t="n">
        <v>-60430.291</v>
      </c>
    </row>
    <row r="8">
      <c r="B8" s="6" t="inlineStr">
        <is>
          <t>Lucro bruto</t>
        </is>
      </c>
      <c r="C8" s="12" t="n">
        <v>6149.378</v>
      </c>
      <c r="D8" s="12" t="n">
        <v>4203.284</v>
      </c>
      <c r="E8" s="12" t="n">
        <v>5930.559</v>
      </c>
      <c r="F8" s="12" t="n">
        <v>20817.36</v>
      </c>
      <c r="G8" s="12" t="n">
        <v>18751.054</v>
      </c>
      <c r="H8" s="12" t="n">
        <v>11332.455</v>
      </c>
      <c r="I8" s="12" t="n">
        <v>9203.24</v>
      </c>
      <c r="J8" s="12" t="n">
        <v>7967.493</v>
      </c>
      <c r="K8" s="12" t="n">
        <v>9113.448</v>
      </c>
    </row>
    <row r="9">
      <c r="B9" s="6" t="inlineStr">
        <is>
          <t>Despesas com vendas</t>
        </is>
      </c>
      <c r="C9" s="12" t="n">
        <v>-580.345</v>
      </c>
      <c r="D9" s="12" t="n">
        <v>-476.339</v>
      </c>
      <c r="E9" s="12" t="n">
        <v>-512.95</v>
      </c>
      <c r="F9" s="12" t="n">
        <v>-715.83</v>
      </c>
      <c r="G9" s="12" t="n">
        <v>-733.026</v>
      </c>
      <c r="H9" s="12" t="n">
        <v>-716.1950000000001</v>
      </c>
      <c r="I9" s="12" t="n">
        <v>-762.5599999999999</v>
      </c>
      <c r="J9" s="12" t="n">
        <v>-782.351</v>
      </c>
      <c r="K9" s="12" t="n">
        <v>-757.79</v>
      </c>
    </row>
    <row r="10">
      <c r="B10" s="6" t="inlineStr">
        <is>
          <t>Despesas gerais e administrativas</t>
        </is>
      </c>
      <c r="C10" s="12" t="n">
        <v>-1082.449</v>
      </c>
      <c r="D10" s="12" t="n">
        <v>-954.117</v>
      </c>
      <c r="E10" s="12" t="n">
        <v>-1017.435</v>
      </c>
      <c r="F10" s="12" t="n">
        <v>-1390.121</v>
      </c>
      <c r="G10" s="12" t="n">
        <v>-1454.592</v>
      </c>
      <c r="H10" s="12" t="n">
        <v>-1491.441</v>
      </c>
      <c r="I10" s="12" t="n">
        <v>-1404.059</v>
      </c>
      <c r="J10" s="12" t="n">
        <v>-1338.443</v>
      </c>
      <c r="K10" s="12" t="n">
        <v>-1302.351</v>
      </c>
    </row>
    <row r="11">
      <c r="B11" s="6" t="inlineStr">
        <is>
          <t>Perdas por recuperabilidade de ativos (impairment)</t>
        </is>
      </c>
      <c r="C11" s="12" t="n">
        <v>0</v>
      </c>
      <c r="D11" s="12" t="n">
        <v>0</v>
      </c>
      <c r="E11" s="12" t="n">
        <v>-411.925</v>
      </c>
      <c r="F11" s="12" t="n">
        <v>0</v>
      </c>
      <c r="G11" s="12" t="n">
        <v>0</v>
      </c>
      <c r="H11" s="12" t="n">
        <v>0</v>
      </c>
      <c r="I11" s="12" t="n">
        <v>-199.627</v>
      </c>
      <c r="J11" s="12" t="n">
        <v>-1964.504</v>
      </c>
      <c r="K11" s="12" t="n">
        <v>-1964.504</v>
      </c>
    </row>
    <row r="12">
      <c r="B12" s="6" t="inlineStr">
        <is>
          <t>Total de despesas/receitas operacionais</t>
        </is>
      </c>
      <c r="C12" s="12" t="n">
        <v>-2102.152</v>
      </c>
      <c r="D12" s="12" t="n">
        <v>-1019.35</v>
      </c>
      <c r="E12" s="12" t="n">
        <v>-736.174</v>
      </c>
      <c r="F12" s="12" t="n">
        <v>205.662</v>
      </c>
      <c r="G12" s="12" t="n">
        <v>-999.601</v>
      </c>
      <c r="H12" s="12" t="n">
        <v>-879.728</v>
      </c>
      <c r="I12" s="12" t="n">
        <v>-1716.038</v>
      </c>
      <c r="J12" s="12" t="n">
        <v>-4228.425</v>
      </c>
      <c r="K12" s="12" t="n">
        <v>-4079.307</v>
      </c>
    </row>
    <row r="13">
      <c r="B13" s="6" t="inlineStr">
        <is>
          <t>Equivalência patrimonial</t>
        </is>
      </c>
      <c r="C13" s="12" t="n">
        <v>10.141</v>
      </c>
      <c r="D13" s="12" t="n">
        <v>-17.05</v>
      </c>
      <c r="E13" s="12" t="n">
        <v>152.569</v>
      </c>
      <c r="F13" s="12" t="n">
        <v>563.158</v>
      </c>
      <c r="G13" s="12" t="n">
        <v>1151.827</v>
      </c>
      <c r="H13" s="12" t="n">
        <v>827.606</v>
      </c>
      <c r="I13" s="12" t="n">
        <v>464.467</v>
      </c>
      <c r="J13" s="12" t="n">
        <v>95.622</v>
      </c>
      <c r="K13" s="12" t="n">
        <v>196.604</v>
      </c>
    </row>
    <row r="14">
      <c r="B14" s="6" t="inlineStr">
        <is>
          <t>EBIT (resultado antes do financeiro e dos tributos)</t>
        </is>
      </c>
      <c r="C14" s="12" t="n">
        <v>4047.226</v>
      </c>
      <c r="D14" s="12" t="n">
        <v>3183.934</v>
      </c>
      <c r="E14" s="12" t="n">
        <v>5194.385</v>
      </c>
      <c r="F14" s="12" t="n">
        <v>21023.022</v>
      </c>
      <c r="G14" s="12" t="n">
        <v>17751.453</v>
      </c>
      <c r="H14" s="12" t="n">
        <v>10452.727</v>
      </c>
      <c r="I14" s="12" t="n">
        <v>7487.202</v>
      </c>
      <c r="J14" s="12" t="n">
        <v>3739.068</v>
      </c>
      <c r="K14" s="12" t="n">
        <v>5034.141</v>
      </c>
    </row>
    <row r="15">
      <c r="B15" s="6" t="inlineStr">
        <is>
          <t>Resultado financeiro</t>
        </is>
      </c>
      <c r="C15" s="12" t="n">
        <v>-1889.795</v>
      </c>
      <c r="D15" s="12" t="n">
        <v>-1509.214</v>
      </c>
      <c r="E15" s="12" t="n">
        <v>-1698.707</v>
      </c>
      <c r="F15" s="12" t="n">
        <v>-750.454</v>
      </c>
      <c r="G15" s="12" t="n">
        <v>-1892.426</v>
      </c>
      <c r="H15" s="12" t="n">
        <v>-1106.122</v>
      </c>
      <c r="I15" s="12" t="n">
        <v>-2023.487</v>
      </c>
      <c r="J15" s="12" t="n">
        <v>-1214.621</v>
      </c>
      <c r="K15" s="12" t="n">
        <v>-1200.23</v>
      </c>
    </row>
    <row r="16">
      <c r="B16" s="6" t="inlineStr">
        <is>
          <t>Lucro antes dos tributos</t>
        </is>
      </c>
      <c r="C16" s="12" t="n">
        <v>2157.431</v>
      </c>
      <c r="D16" s="12" t="n">
        <v>1674.72</v>
      </c>
      <c r="E16" s="12" t="n">
        <v>3495.678</v>
      </c>
      <c r="F16" s="12" t="n">
        <v>20272.568</v>
      </c>
      <c r="G16" s="12" t="n">
        <v>15859.027</v>
      </c>
      <c r="H16" s="12" t="n">
        <v>9346.605</v>
      </c>
      <c r="I16" s="12" t="n">
        <v>5463.715</v>
      </c>
      <c r="J16" s="12" t="n">
        <v>2524.447</v>
      </c>
      <c r="K16" s="12" t="n">
        <v>3833.911</v>
      </c>
    </row>
    <row r="17">
      <c r="B17" s="6" t="inlineStr">
        <is>
          <t>Imposto de renda e CSLL</t>
        </is>
      </c>
      <c r="C17" s="12" t="n">
        <v>168.951</v>
      </c>
      <c r="D17" s="12" t="n">
        <v>-457.833</v>
      </c>
      <c r="E17" s="12" t="n">
        <v>-1107.624</v>
      </c>
      <c r="F17" s="12" t="n">
        <v>-4713.63</v>
      </c>
      <c r="G17" s="12" t="n">
        <v>-4379.475</v>
      </c>
      <c r="H17" s="12" t="n">
        <v>-1809.622</v>
      </c>
      <c r="I17" s="12" t="n">
        <v>-864.653</v>
      </c>
      <c r="J17" s="12" t="n">
        <v>-1106.009</v>
      </c>
      <c r="K17" s="12" t="n">
        <v>-1558.373</v>
      </c>
    </row>
    <row r="18">
      <c r="B18" s="6" t="inlineStr">
        <is>
          <t>Lucro líquido consolidado</t>
        </is>
      </c>
      <c r="C18" s="12" t="n">
        <v>2326.382</v>
      </c>
      <c r="D18" s="12" t="n">
        <v>1216.887</v>
      </c>
      <c r="E18" s="12" t="n">
        <v>2388.054</v>
      </c>
      <c r="F18" s="12" t="n">
        <v>15558.938</v>
      </c>
      <c r="G18" s="12" t="n">
        <v>11479.552</v>
      </c>
      <c r="H18" s="12" t="n">
        <v>7536.983</v>
      </c>
      <c r="I18" s="12" t="n">
        <v>4599.062</v>
      </c>
      <c r="J18" s="12" t="n">
        <v>1418.438</v>
      </c>
      <c r="K18" s="12" t="n">
        <v>2275.538</v>
      </c>
    </row>
    <row r="19">
      <c r="B19" s="6" t="inlineStr">
        <is>
          <t>Lucro atribuído aos controladores</t>
        </is>
      </c>
      <c r="C19" s="12" t="n">
        <v>2303.868</v>
      </c>
      <c r="D19" s="12" t="n">
        <v>1203.736</v>
      </c>
      <c r="E19" s="12" t="n">
        <v>2365.763</v>
      </c>
      <c r="F19" s="12" t="n">
        <v>15494.111</v>
      </c>
      <c r="G19" s="12" t="n">
        <v>11425.512</v>
      </c>
      <c r="H19" s="12" t="n">
        <v>7501.565</v>
      </c>
      <c r="I19" s="12" t="n">
        <v>4566.317</v>
      </c>
      <c r="J19" s="12" t="n">
        <v>1387.02</v>
      </c>
      <c r="K19" s="12" t="n">
        <v>2237.081</v>
      </c>
    </row>
    <row r="20">
      <c r="B20" s="26" t="inlineStr">
        <is>
          <t>Fluxo de caixa</t>
        </is>
      </c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</row>
    <row r="21">
      <c r="B21" s="6" t="inlineStr">
        <is>
          <t>Depreciação, amortização e exaustão</t>
        </is>
      </c>
      <c r="C21" s="12" t="n">
        <v>1891.814</v>
      </c>
      <c r="D21" s="12" t="n">
        <v>2074.295</v>
      </c>
      <c r="E21" s="12" t="n">
        <v>2441.835</v>
      </c>
      <c r="F21" s="12" t="n">
        <v>2515.909</v>
      </c>
      <c r="G21" s="12" t="n">
        <v>2899.239</v>
      </c>
      <c r="H21" s="12" t="n">
        <v>3130.548</v>
      </c>
      <c r="I21" s="12" t="n">
        <v>3126.247</v>
      </c>
      <c r="J21" s="12" t="n">
        <v>3683.585</v>
      </c>
      <c r="K21" s="12" t="n">
        <v>3696.375</v>
      </c>
    </row>
    <row r="22">
      <c r="B22" s="6" t="inlineStr">
        <is>
          <t>Caixa das atividades operacionais</t>
        </is>
      </c>
      <c r="C22" s="12" t="n">
        <v>1999.683</v>
      </c>
      <c r="D22" s="12" t="n">
        <v>1642.792</v>
      </c>
      <c r="E22" s="12" t="n">
        <v>6407.906</v>
      </c>
      <c r="F22" s="12" t="n">
        <v>12516.933</v>
      </c>
      <c r="G22" s="12" t="n">
        <v>11150.338</v>
      </c>
      <c r="H22" s="12" t="n">
        <v>11138.71</v>
      </c>
      <c r="I22" s="12" t="n">
        <v>11381.243</v>
      </c>
      <c r="J22" s="12" t="n">
        <v>7987.454</v>
      </c>
      <c r="K22" s="12" t="n">
        <v>9116.445</v>
      </c>
    </row>
    <row r="23">
      <c r="B23" s="6" t="inlineStr">
        <is>
          <t>Investimento em imobilizado e intangível (capex)</t>
        </is>
      </c>
      <c r="C23" s="12" t="n">
        <v>1194.934</v>
      </c>
      <c r="D23" s="12" t="n">
        <v>1746.6</v>
      </c>
      <c r="E23" s="12" t="n">
        <v>1650.778</v>
      </c>
      <c r="F23" s="12" t="n">
        <v>3026.023</v>
      </c>
      <c r="G23" s="12" t="n">
        <v>4291.873</v>
      </c>
      <c r="H23" s="12" t="n">
        <v>5209.128</v>
      </c>
      <c r="I23" s="12" t="n">
        <v>5778.381</v>
      </c>
      <c r="J23" s="12" t="n">
        <v>6681.62</v>
      </c>
      <c r="K23" s="12" t="n">
        <v>5415.708</v>
      </c>
    </row>
    <row r="24">
      <c r="B24" s="6" t="inlineStr">
        <is>
          <t>Dividendos e JCP pagos</t>
        </is>
      </c>
      <c r="C24" s="12" t="n">
        <v>599.099</v>
      </c>
      <c r="D24" s="12" t="n">
        <v>484.173</v>
      </c>
      <c r="E24" s="12" t="n">
        <v>274.815</v>
      </c>
      <c r="F24" s="12" t="n">
        <v>5339.426</v>
      </c>
      <c r="G24" s="12" t="n">
        <v>5891.69</v>
      </c>
      <c r="H24" s="12" t="n">
        <v>2683.328</v>
      </c>
      <c r="I24" s="12" t="n">
        <v>1656.414</v>
      </c>
      <c r="J24" s="12" t="n">
        <v>1285.673</v>
      </c>
      <c r="K24" s="12" t="n">
        <v>1372.327</v>
      </c>
    </row>
    <row r="25">
      <c r="B25" s="26" t="inlineStr">
        <is>
          <t>Balanço patrimonial</t>
        </is>
      </c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</row>
    <row r="26">
      <c r="B26" s="6" t="inlineStr">
        <is>
          <t>Caixa e equivalentes</t>
        </is>
      </c>
      <c r="C26" s="12" t="n">
        <v>2890.144</v>
      </c>
      <c r="D26" s="12" t="n">
        <v>2641.652</v>
      </c>
      <c r="E26" s="12" t="n">
        <v>4617.204</v>
      </c>
      <c r="F26" s="12" t="n">
        <v>4160.654</v>
      </c>
      <c r="G26" s="12" t="n">
        <v>2475.863</v>
      </c>
      <c r="H26" s="12" t="n">
        <v>3005.645</v>
      </c>
      <c r="I26" s="12" t="n">
        <v>7767.813</v>
      </c>
      <c r="J26" s="12" t="n">
        <v>5929.17</v>
      </c>
      <c r="K26" s="12" t="n">
        <v>5155.232</v>
      </c>
    </row>
    <row r="27">
      <c r="B27" s="6" t="inlineStr">
        <is>
          <t>Aplicações financeiras</t>
        </is>
      </c>
      <c r="C27" s="12" t="n">
        <v>459.47</v>
      </c>
      <c r="D27" s="12" t="n">
        <v>3652.949</v>
      </c>
      <c r="E27" s="12" t="n">
        <v>3041.143</v>
      </c>
      <c r="F27" s="12" t="n">
        <v>2626.212</v>
      </c>
      <c r="G27" s="12" t="n">
        <v>2959.135</v>
      </c>
      <c r="H27" s="12" t="n">
        <v>2338.097</v>
      </c>
      <c r="I27" s="12" t="n">
        <v>509.03</v>
      </c>
      <c r="J27" s="12" t="n">
        <v>445.627</v>
      </c>
      <c r="K27" s="12" t="n">
        <v>285.262</v>
      </c>
    </row>
    <row r="28">
      <c r="B28" s="6" t="inlineStr">
        <is>
          <t>Contas a receber</t>
        </is>
      </c>
      <c r="C28" s="12" t="n">
        <v>3201.656</v>
      </c>
      <c r="D28" s="12" t="n">
        <v>2672.37</v>
      </c>
      <c r="E28" s="12" t="n">
        <v>3737.27</v>
      </c>
      <c r="F28" s="12" t="n">
        <v>5414.075</v>
      </c>
      <c r="G28" s="12" t="n">
        <v>4999.004</v>
      </c>
      <c r="H28" s="12" t="n">
        <v>4875.394</v>
      </c>
      <c r="I28" s="12" t="n">
        <v>5176.958</v>
      </c>
      <c r="J28" s="12" t="n">
        <v>4810.64</v>
      </c>
      <c r="K28" s="12" t="n">
        <v>5999.384</v>
      </c>
    </row>
    <row r="29">
      <c r="B29" s="6" t="inlineStr">
        <is>
          <t>Estoques</t>
        </is>
      </c>
      <c r="C29" s="12" t="n">
        <v>9167.689</v>
      </c>
      <c r="D29" s="12" t="n">
        <v>7659.737</v>
      </c>
      <c r="E29" s="12" t="n">
        <v>9169.416999999999</v>
      </c>
      <c r="F29" s="12" t="n">
        <v>16861.488</v>
      </c>
      <c r="G29" s="12" t="n">
        <v>17817.585</v>
      </c>
      <c r="H29" s="12" t="n">
        <v>15227.778</v>
      </c>
      <c r="I29" s="12" t="n">
        <v>16504.911</v>
      </c>
      <c r="J29" s="12" t="n">
        <v>14731.081</v>
      </c>
      <c r="K29" s="12" t="n">
        <v>16099.611</v>
      </c>
    </row>
    <row r="30">
      <c r="B30" s="6" t="inlineStr">
        <is>
          <t>Ativo circulante</t>
        </is>
      </c>
      <c r="C30" s="12" t="n">
        <v>17503.082</v>
      </c>
      <c r="D30" s="12" t="n">
        <v>18235.713</v>
      </c>
      <c r="E30" s="12" t="n">
        <v>23409.453</v>
      </c>
      <c r="F30" s="12" t="n">
        <v>32640.477</v>
      </c>
      <c r="G30" s="12" t="n">
        <v>31257.422</v>
      </c>
      <c r="H30" s="12" t="n">
        <v>29197.937</v>
      </c>
      <c r="I30" s="12" t="n">
        <v>32669.423</v>
      </c>
      <c r="J30" s="12" t="n">
        <v>28605.081</v>
      </c>
      <c r="K30" s="12" t="n">
        <v>29438.649</v>
      </c>
    </row>
    <row r="31">
      <c r="B31" s="6" t="inlineStr">
        <is>
          <t>Investimentos em coligadas</t>
        </is>
      </c>
      <c r="C31" s="12" t="n">
        <v>1367.802</v>
      </c>
      <c r="D31" s="12" t="n">
        <v>1812.399</v>
      </c>
      <c r="E31" s="12" t="n">
        <v>2271.629</v>
      </c>
      <c r="F31" s="12" t="n">
        <v>3340.775</v>
      </c>
      <c r="G31" s="12" t="n">
        <v>3896.518</v>
      </c>
      <c r="H31" s="12" t="n">
        <v>3858.449</v>
      </c>
      <c r="I31" s="12" t="n">
        <v>4222.317</v>
      </c>
      <c r="J31" s="12" t="n">
        <v>3944.474</v>
      </c>
      <c r="K31" s="12" t="n">
        <v>3700.806</v>
      </c>
    </row>
    <row r="32">
      <c r="B32" s="6" t="inlineStr">
        <is>
          <t>Imobilizado</t>
        </is>
      </c>
      <c r="C32" s="12" t="n">
        <v>15546.481</v>
      </c>
      <c r="D32" s="12" t="n">
        <v>16678.807</v>
      </c>
      <c r="E32" s="12" t="n">
        <v>18068.226</v>
      </c>
      <c r="F32" s="12" t="n">
        <v>19603.53</v>
      </c>
      <c r="G32" s="12" t="n">
        <v>21383.61</v>
      </c>
      <c r="H32" s="12" t="n">
        <v>24063.184</v>
      </c>
      <c r="I32" s="12" t="n">
        <v>30760.008</v>
      </c>
      <c r="J32" s="12" t="n">
        <v>31912.295</v>
      </c>
      <c r="K32" s="12" t="n">
        <v>32283.184</v>
      </c>
    </row>
    <row r="33">
      <c r="B33" s="6" t="inlineStr">
        <is>
          <t>Intangível</t>
        </is>
      </c>
      <c r="C33" s="12" t="n">
        <v>9948.486000000001</v>
      </c>
      <c r="D33" s="12" t="n">
        <v>10142.573</v>
      </c>
      <c r="E33" s="12" t="n">
        <v>12726.097</v>
      </c>
      <c r="F33" s="12" t="n">
        <v>12937.287</v>
      </c>
      <c r="G33" s="12" t="n">
        <v>12049.623</v>
      </c>
      <c r="H33" s="12" t="n">
        <v>11198.858</v>
      </c>
      <c r="I33" s="12" t="n">
        <v>14253.681</v>
      </c>
      <c r="J33" s="12" t="n">
        <v>12687.092</v>
      </c>
      <c r="K33" s="12" t="n">
        <v>11969.463</v>
      </c>
    </row>
    <row r="34">
      <c r="B34" s="6" t="inlineStr">
        <is>
          <t>Ativo total</t>
        </is>
      </c>
      <c r="C34" s="12" t="n">
        <v>51281.029</v>
      </c>
      <c r="D34" s="12" t="n">
        <v>54002.97</v>
      </c>
      <c r="E34" s="12" t="n">
        <v>63123.009</v>
      </c>
      <c r="F34" s="12" t="n">
        <v>73814.613</v>
      </c>
      <c r="G34" s="12" t="n">
        <v>73798.652</v>
      </c>
      <c r="H34" s="12" t="n">
        <v>74885.144</v>
      </c>
      <c r="I34" s="12" t="n">
        <v>86814.493</v>
      </c>
      <c r="J34" s="12" t="n">
        <v>81688.175</v>
      </c>
      <c r="K34" s="12" t="n">
        <v>81972.713</v>
      </c>
    </row>
    <row r="35">
      <c r="B35" s="6" t="inlineStr">
        <is>
          <t>Fornecedores</t>
        </is>
      </c>
      <c r="C35" s="12" t="n">
        <v>4119.057</v>
      </c>
      <c r="D35" s="12" t="n">
        <v>3762.768</v>
      </c>
      <c r="E35" s="12" t="n">
        <v>5437.953</v>
      </c>
      <c r="F35" s="12" t="n">
        <v>8017.14</v>
      </c>
      <c r="G35" s="12" t="n">
        <v>6618.923</v>
      </c>
      <c r="H35" s="12" t="n">
        <v>5901.183</v>
      </c>
      <c r="I35" s="12" t="n">
        <v>5718.104</v>
      </c>
      <c r="J35" s="12" t="n">
        <v>5009.671</v>
      </c>
      <c r="K35" s="12" t="n">
        <v>6181.971</v>
      </c>
    </row>
    <row r="36">
      <c r="B36" s="6" t="inlineStr">
        <is>
          <t>Empréstimos e financiamentos - curto prazo</t>
        </is>
      </c>
      <c r="C36" s="12" t="n">
        <v>1824.938</v>
      </c>
      <c r="D36" s="12" t="n">
        <v>1562.226</v>
      </c>
      <c r="E36" s="12" t="n">
        <v>1431.506</v>
      </c>
      <c r="F36" s="12" t="n">
        <v>1766.493</v>
      </c>
      <c r="G36" s="12" t="n">
        <v>3121.148</v>
      </c>
      <c r="H36" s="12" t="n">
        <v>1797.622</v>
      </c>
      <c r="I36" s="12" t="n">
        <v>735.037</v>
      </c>
      <c r="J36" s="12" t="n">
        <v>941.904</v>
      </c>
      <c r="K36" s="12" t="n">
        <v>629.75</v>
      </c>
    </row>
    <row r="37">
      <c r="B37" s="6" t="inlineStr">
        <is>
          <t>Passivo circulante</t>
        </is>
      </c>
      <c r="C37" s="12" t="n">
        <v>8504.253000000001</v>
      </c>
      <c r="D37" s="12" t="n">
        <v>7424.537</v>
      </c>
      <c r="E37" s="12" t="n">
        <v>11482.143</v>
      </c>
      <c r="F37" s="12" t="n">
        <v>14036.814</v>
      </c>
      <c r="G37" s="12" t="n">
        <v>13462.581</v>
      </c>
      <c r="H37" s="12" t="n">
        <v>11284.612</v>
      </c>
      <c r="I37" s="12" t="n">
        <v>10851.391</v>
      </c>
      <c r="J37" s="12" t="n">
        <v>9887.42</v>
      </c>
      <c r="K37" s="12" t="n">
        <v>10257.691</v>
      </c>
    </row>
    <row r="38">
      <c r="B38" s="6" t="inlineStr">
        <is>
          <t>Empréstimos e financiamentos - longo prazo</t>
        </is>
      </c>
      <c r="C38" s="12" t="n">
        <v>13081.776</v>
      </c>
      <c r="D38" s="12" t="n">
        <v>14487.641</v>
      </c>
      <c r="E38" s="12" t="n">
        <v>16083.845</v>
      </c>
      <c r="F38" s="12" t="n">
        <v>12273.2</v>
      </c>
      <c r="G38" s="12" t="n">
        <v>9486.242</v>
      </c>
      <c r="H38" s="12" t="n">
        <v>9095.686</v>
      </c>
      <c r="I38" s="12" t="n">
        <v>12901.447</v>
      </c>
      <c r="J38" s="12" t="n">
        <v>13240.247</v>
      </c>
      <c r="K38" s="12" t="n">
        <v>12928.339</v>
      </c>
    </row>
    <row r="39">
      <c r="B39" s="6" t="inlineStr">
        <is>
          <t>Patrimônio líquido consolidado</t>
        </is>
      </c>
      <c r="C39" s="12" t="n">
        <v>25938.571</v>
      </c>
      <c r="D39" s="12" t="n">
        <v>27173.127</v>
      </c>
      <c r="E39" s="12" t="n">
        <v>31085.21</v>
      </c>
      <c r="F39" s="12" t="n">
        <v>42815.649</v>
      </c>
      <c r="G39" s="12" t="n">
        <v>46298.193</v>
      </c>
      <c r="H39" s="12" t="n">
        <v>49238.863</v>
      </c>
      <c r="I39" s="12" t="n">
        <v>58173.786</v>
      </c>
      <c r="J39" s="12" t="n">
        <v>53798.489</v>
      </c>
      <c r="K39" s="12" t="n">
        <v>53734.748</v>
      </c>
    </row>
    <row r="40">
      <c r="B40" s="6" t="inlineStr">
        <is>
          <t>Participação de não controladores</t>
        </is>
      </c>
      <c r="C40" s="12" t="n">
        <v>207.967</v>
      </c>
      <c r="D40" s="12" t="n">
        <v>217.426</v>
      </c>
      <c r="E40" s="12" t="n">
        <v>224.939</v>
      </c>
      <c r="F40" s="12" t="n">
        <v>211.367</v>
      </c>
      <c r="G40" s="12" t="n">
        <v>181.999</v>
      </c>
      <c r="H40" s="12" t="n">
        <v>179.904</v>
      </c>
      <c r="I40" s="12" t="n">
        <v>225.027</v>
      </c>
      <c r="J40" s="12" t="n">
        <v>213.096</v>
      </c>
      <c r="K40" s="12" t="n">
        <v>190.194</v>
      </c>
    </row>
    <row r="41">
      <c r="B41" s="26" t="inlineStr">
        <is>
          <t>Indicadores (fórmulas)</t>
        </is>
      </c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</row>
    <row r="42">
      <c r="B42" s="6" t="inlineStr">
        <is>
          <t>EBITDA (EBIT + depreciação)</t>
        </is>
      </c>
      <c r="C42" s="12">
        <f>C14+C21</f>
        <v/>
      </c>
      <c r="D42" s="12">
        <f>D14+D21</f>
        <v/>
      </c>
      <c r="E42" s="12">
        <f>E14+E21</f>
        <v/>
      </c>
      <c r="F42" s="12">
        <f>F14+F21</f>
        <v/>
      </c>
      <c r="G42" s="12">
        <f>G14+G21</f>
        <v/>
      </c>
      <c r="H42" s="12">
        <f>H14+H21</f>
        <v/>
      </c>
      <c r="I42" s="12">
        <f>I14+I21</f>
        <v/>
      </c>
      <c r="J42" s="12">
        <f>J14+J21</f>
        <v/>
      </c>
      <c r="K42" s="12">
        <f>K14+K21</f>
        <v/>
      </c>
    </row>
    <row r="43">
      <c r="B43" s="6" t="inlineStr">
        <is>
          <t>EBITDA sem perdas por recuperabilidade</t>
        </is>
      </c>
      <c r="C43" s="12">
        <f>C42-C11</f>
        <v/>
      </c>
      <c r="D43" s="12">
        <f>D42-D11</f>
        <v/>
      </c>
      <c r="E43" s="12">
        <f>E42-E11</f>
        <v/>
      </c>
      <c r="F43" s="12">
        <f>F42-F11</f>
        <v/>
      </c>
      <c r="G43" s="12">
        <f>G42-G11</f>
        <v/>
      </c>
      <c r="H43" s="12">
        <f>H42-H11</f>
        <v/>
      </c>
      <c r="I43" s="12">
        <f>I42-I11</f>
        <v/>
      </c>
      <c r="J43" s="12">
        <f>J42-J11</f>
        <v/>
      </c>
      <c r="K43" s="12">
        <f>K42-K11</f>
        <v/>
      </c>
    </row>
    <row r="44">
      <c r="B44" s="6" t="inlineStr">
        <is>
          <t>Margem EBITDA sem perdas por recuperabilidade</t>
        </is>
      </c>
      <c r="C44" s="11">
        <f>C43/C6</f>
        <v/>
      </c>
      <c r="D44" s="11">
        <f>D43/D6</f>
        <v/>
      </c>
      <c r="E44" s="11">
        <f>E43/E6</f>
        <v/>
      </c>
      <c r="F44" s="11">
        <f>F43/F6</f>
        <v/>
      </c>
      <c r="G44" s="11">
        <f>G43/G6</f>
        <v/>
      </c>
      <c r="H44" s="11">
        <f>H43/H6</f>
        <v/>
      </c>
      <c r="I44" s="11">
        <f>I43/I6</f>
        <v/>
      </c>
      <c r="J44" s="11">
        <f>J43/J6</f>
        <v/>
      </c>
      <c r="K44" s="11">
        <f>K43/K6</f>
        <v/>
      </c>
    </row>
    <row r="45">
      <c r="B45" s="6" t="inlineStr">
        <is>
          <t>Custo caixa (custo sem depreciação)</t>
        </is>
      </c>
      <c r="C45" s="12">
        <f>C7+C21</f>
        <v/>
      </c>
      <c r="D45" s="12">
        <f>D7+D21</f>
        <v/>
      </c>
      <c r="E45" s="12">
        <f>E7+E21</f>
        <v/>
      </c>
      <c r="F45" s="12">
        <f>F7+F21</f>
        <v/>
      </c>
      <c r="G45" s="12">
        <f>G7+G21</f>
        <v/>
      </c>
      <c r="H45" s="12">
        <f>H7+H21</f>
        <v/>
      </c>
      <c r="I45" s="12">
        <f>I7+I21</f>
        <v/>
      </c>
      <c r="J45" s="12">
        <f>J7+J21</f>
        <v/>
      </c>
      <c r="K45" s="12">
        <f>K7+K21</f>
        <v/>
      </c>
    </row>
    <row r="46">
      <c r="B46" s="6" t="inlineStr">
        <is>
          <t>Outras receitas/despesas operacionais</t>
        </is>
      </c>
      <c r="C46" s="12">
        <f>C12-C9-C10-C13</f>
        <v/>
      </c>
      <c r="D46" s="12">
        <f>D12-D9-D10-D13</f>
        <v/>
      </c>
      <c r="E46" s="12">
        <f>E12-E9-E10-E13</f>
        <v/>
      </c>
      <c r="F46" s="12">
        <f>F12-F9-F10-F13</f>
        <v/>
      </c>
      <c r="G46" s="12">
        <f>G12-G9-G10-G13</f>
        <v/>
      </c>
      <c r="H46" s="12">
        <f>H12-H9-H10-H13</f>
        <v/>
      </c>
      <c r="I46" s="12">
        <f>I12-I9-I10-I13</f>
        <v/>
      </c>
      <c r="J46" s="12">
        <f>J12-J9-J10-J13</f>
        <v/>
      </c>
      <c r="K46" s="12">
        <f>K12-K9-K10-K13</f>
        <v/>
      </c>
    </row>
    <row r="47">
      <c r="B47" s="6" t="inlineStr">
        <is>
          <t>NOPAT (lucro operacional após imposto de 34%)</t>
        </is>
      </c>
      <c r="C47" s="12">
        <f>(C14-C13)*(1-0.34)</f>
        <v/>
      </c>
      <c r="D47" s="12">
        <f>(D14-D13)*(1-0.34)</f>
        <v/>
      </c>
      <c r="E47" s="12">
        <f>(E14-E13)*(1-0.34)</f>
        <v/>
      </c>
      <c r="F47" s="12">
        <f>(F14-F13)*(1-0.34)</f>
        <v/>
      </c>
      <c r="G47" s="12">
        <f>(G14-G13)*(1-0.34)</f>
        <v/>
      </c>
      <c r="H47" s="12">
        <f>(H14-H13)*(1-0.34)</f>
        <v/>
      </c>
      <c r="I47" s="12">
        <f>(I14-I13)*(1-0.34)</f>
        <v/>
      </c>
      <c r="J47" s="12">
        <f>(J14-J13)*(1-0.34)</f>
        <v/>
      </c>
      <c r="K47" s="12">
        <f>(K14-K13)*(1-0.34)</f>
        <v/>
      </c>
    </row>
    <row r="48">
      <c r="B48" s="6" t="inlineStr">
        <is>
          <t>Crescimento da receita</t>
        </is>
      </c>
      <c r="D48" s="11">
        <f>D6/C6-1</f>
        <v/>
      </c>
      <c r="E48" s="11">
        <f>E6/D6-1</f>
        <v/>
      </c>
      <c r="F48" s="11">
        <f>F6/E6-1</f>
        <v/>
      </c>
      <c r="G48" s="11">
        <f>G6/F6-1</f>
        <v/>
      </c>
      <c r="H48" s="11">
        <f>H6/G6-1</f>
        <v/>
      </c>
      <c r="I48" s="11">
        <f>I6/H6-1</f>
        <v/>
      </c>
      <c r="J48" s="11">
        <f>J6/I6-1</f>
        <v/>
      </c>
      <c r="K48" s="11">
        <f>K6/J6-1</f>
        <v/>
      </c>
    </row>
    <row r="49">
      <c r="B49" s="6" t="inlineStr">
        <is>
          <t>Margem bruta</t>
        </is>
      </c>
      <c r="C49" s="11">
        <f>C8/C6</f>
        <v/>
      </c>
      <c r="D49" s="11">
        <f>D8/D6</f>
        <v/>
      </c>
      <c r="E49" s="11">
        <f>E8/E6</f>
        <v/>
      </c>
      <c r="F49" s="11">
        <f>F8/F6</f>
        <v/>
      </c>
      <c r="G49" s="11">
        <f>G8/G6</f>
        <v/>
      </c>
      <c r="H49" s="11">
        <f>H8/H6</f>
        <v/>
      </c>
      <c r="I49" s="11">
        <f>I8/I6</f>
        <v/>
      </c>
      <c r="J49" s="11">
        <f>J8/J6</f>
        <v/>
      </c>
      <c r="K49" s="11">
        <f>K8/K6</f>
        <v/>
      </c>
    </row>
    <row r="50">
      <c r="B50" s="6" t="inlineStr">
        <is>
          <t>Margem EBITDA</t>
        </is>
      </c>
      <c r="C50" s="11">
        <f>C42/C6</f>
        <v/>
      </c>
      <c r="D50" s="11">
        <f>D42/D6</f>
        <v/>
      </c>
      <c r="E50" s="11">
        <f>E42/E6</f>
        <v/>
      </c>
      <c r="F50" s="11">
        <f>F42/F6</f>
        <v/>
      </c>
      <c r="G50" s="11">
        <f>G42/G6</f>
        <v/>
      </c>
      <c r="H50" s="11">
        <f>H42/H6</f>
        <v/>
      </c>
      <c r="I50" s="11">
        <f>I42/I6</f>
        <v/>
      </c>
      <c r="J50" s="11">
        <f>J42/J6</f>
        <v/>
      </c>
      <c r="K50" s="11">
        <f>K42/K6</f>
        <v/>
      </c>
    </row>
    <row r="51">
      <c r="B51" s="6" t="inlineStr">
        <is>
          <t>Margem EBIT</t>
        </is>
      </c>
      <c r="C51" s="11">
        <f>C14/C6</f>
        <v/>
      </c>
      <c r="D51" s="11">
        <f>D14/D6</f>
        <v/>
      </c>
      <c r="E51" s="11">
        <f>E14/E6</f>
        <v/>
      </c>
      <c r="F51" s="11">
        <f>F14/F6</f>
        <v/>
      </c>
      <c r="G51" s="11">
        <f>G14/G6</f>
        <v/>
      </c>
      <c r="H51" s="11">
        <f>H14/H6</f>
        <v/>
      </c>
      <c r="I51" s="11">
        <f>I14/I6</f>
        <v/>
      </c>
      <c r="J51" s="11">
        <f>J14/J6</f>
        <v/>
      </c>
      <c r="K51" s="11">
        <f>K14/K6</f>
        <v/>
      </c>
    </row>
    <row r="52">
      <c r="B52" s="6" t="inlineStr">
        <is>
          <t>Margem líquida</t>
        </is>
      </c>
      <c r="C52" s="11">
        <f>C18/C6</f>
        <v/>
      </c>
      <c r="D52" s="11">
        <f>D18/D6</f>
        <v/>
      </c>
      <c r="E52" s="11">
        <f>E18/E6</f>
        <v/>
      </c>
      <c r="F52" s="11">
        <f>F18/F6</f>
        <v/>
      </c>
      <c r="G52" s="11">
        <f>G18/G6</f>
        <v/>
      </c>
      <c r="H52" s="11">
        <f>H18/H6</f>
        <v/>
      </c>
      <c r="I52" s="11">
        <f>I18/I6</f>
        <v/>
      </c>
      <c r="J52" s="11">
        <f>J18/J6</f>
        <v/>
      </c>
      <c r="K52" s="11">
        <f>K18/K6</f>
        <v/>
      </c>
    </row>
    <row r="53">
      <c r="B53" s="6" t="inlineStr">
        <is>
          <t>Outras operacionais / receita</t>
        </is>
      </c>
      <c r="C53" s="11">
        <f>C46/C6</f>
        <v/>
      </c>
      <c r="D53" s="11">
        <f>D46/D6</f>
        <v/>
      </c>
      <c r="E53" s="11">
        <f>E46/E6</f>
        <v/>
      </c>
      <c r="F53" s="11">
        <f>F46/F6</f>
        <v/>
      </c>
      <c r="G53" s="11">
        <f>G46/G6</f>
        <v/>
      </c>
      <c r="H53" s="11">
        <f>H46/H6</f>
        <v/>
      </c>
      <c r="I53" s="11">
        <f>I46/I6</f>
        <v/>
      </c>
      <c r="J53" s="11">
        <f>J46/J6</f>
        <v/>
      </c>
      <c r="K53" s="11">
        <f>K46/K6</f>
        <v/>
      </c>
    </row>
    <row r="54">
      <c r="B54" s="6" t="inlineStr">
        <is>
          <t>Capex / receita</t>
        </is>
      </c>
      <c r="C54" s="11">
        <f>C23/C6</f>
        <v/>
      </c>
      <c r="D54" s="11">
        <f>D23/D6</f>
        <v/>
      </c>
      <c r="E54" s="11">
        <f>E23/E6</f>
        <v/>
      </c>
      <c r="F54" s="11">
        <f>F23/F6</f>
        <v/>
      </c>
      <c r="G54" s="11">
        <f>G23/G6</f>
        <v/>
      </c>
      <c r="H54" s="11">
        <f>H23/H6</f>
        <v/>
      </c>
      <c r="I54" s="11">
        <f>I23/I6</f>
        <v/>
      </c>
      <c r="J54" s="11">
        <f>J23/J6</f>
        <v/>
      </c>
      <c r="K54" s="11">
        <f>K23/K6</f>
        <v/>
      </c>
    </row>
    <row r="55">
      <c r="B55" s="6" t="inlineStr">
        <is>
          <t>Ativo fixo (imobilizado + intangível)</t>
        </is>
      </c>
      <c r="C55" s="12">
        <f>C32+C33</f>
        <v/>
      </c>
      <c r="D55" s="12">
        <f>D32+D33</f>
        <v/>
      </c>
      <c r="E55" s="12">
        <f>E32+E33</f>
        <v/>
      </c>
      <c r="F55" s="12">
        <f>F32+F33</f>
        <v/>
      </c>
      <c r="G55" s="12">
        <f>G32+G33</f>
        <v/>
      </c>
      <c r="H55" s="12">
        <f>H32+H33</f>
        <v/>
      </c>
      <c r="I55" s="12">
        <f>I32+I33</f>
        <v/>
      </c>
      <c r="J55" s="12">
        <f>J32+J33</f>
        <v/>
      </c>
      <c r="K55" s="12">
        <f>K32+K33</f>
        <v/>
      </c>
    </row>
    <row r="56">
      <c r="B56" s="6" t="inlineStr">
        <is>
          <t>Depreciação / ativo fixo do ano anterior</t>
        </is>
      </c>
      <c r="D56" s="11">
        <f>D21/C55</f>
        <v/>
      </c>
      <c r="E56" s="11">
        <f>E21/D55</f>
        <v/>
      </c>
      <c r="F56" s="11">
        <f>F21/E55</f>
        <v/>
      </c>
      <c r="G56" s="11">
        <f>G21/F55</f>
        <v/>
      </c>
      <c r="H56" s="11">
        <f>H21/G55</f>
        <v/>
      </c>
      <c r="I56" s="11">
        <f>I21/H55</f>
        <v/>
      </c>
      <c r="J56" s="11">
        <f>J21/I55</f>
        <v/>
      </c>
      <c r="K56" s="11">
        <f>K21/J55</f>
        <v/>
      </c>
    </row>
    <row r="57">
      <c r="B57" s="6" t="inlineStr">
        <is>
          <t>Alíquota efetiva de imposto</t>
        </is>
      </c>
      <c r="C57" s="11">
        <f>-C17/C16</f>
        <v/>
      </c>
      <c r="D57" s="11">
        <f>-D17/D16</f>
        <v/>
      </c>
      <c r="E57" s="11">
        <f>-E17/E16</f>
        <v/>
      </c>
      <c r="F57" s="11">
        <f>-F17/F16</f>
        <v/>
      </c>
      <c r="G57" s="11">
        <f>-G17/G16</f>
        <v/>
      </c>
      <c r="H57" s="11">
        <f>-H17/H16</f>
        <v/>
      </c>
      <c r="I57" s="11">
        <f>-I17/I16</f>
        <v/>
      </c>
      <c r="J57" s="11">
        <f>-J17/J16</f>
        <v/>
      </c>
      <c r="K57" s="11">
        <f>-K17/K16</f>
        <v/>
      </c>
    </row>
    <row r="58">
      <c r="B58" s="6" t="inlineStr">
        <is>
          <t>Prazo médio de recebimento (dias)</t>
        </is>
      </c>
      <c r="C58" s="28">
        <f>C28/C6*365</f>
        <v/>
      </c>
      <c r="D58" s="28">
        <f>D28/D6*365</f>
        <v/>
      </c>
      <c r="E58" s="28">
        <f>E28/E6*365</f>
        <v/>
      </c>
      <c r="F58" s="28">
        <f>F28/F6*365</f>
        <v/>
      </c>
      <c r="G58" s="28">
        <f>G28/G6*365</f>
        <v/>
      </c>
      <c r="H58" s="28">
        <f>H28/H6*365</f>
        <v/>
      </c>
      <c r="I58" s="28">
        <f>I28/I6*365</f>
        <v/>
      </c>
      <c r="J58" s="28">
        <f>J28/J6*365</f>
        <v/>
      </c>
      <c r="K58" s="28">
        <f>K28/K6*365</f>
        <v/>
      </c>
    </row>
    <row r="59">
      <c r="B59" s="6" t="inlineStr">
        <is>
          <t>Prazo médio de estoque (dias)</t>
        </is>
      </c>
      <c r="C59" s="28">
        <f>C29/-C45*365</f>
        <v/>
      </c>
      <c r="D59" s="28">
        <f>D29/-D45*365</f>
        <v/>
      </c>
      <c r="E59" s="28">
        <f>E29/-E45*365</f>
        <v/>
      </c>
      <c r="F59" s="28">
        <f>F29/-F45*365</f>
        <v/>
      </c>
      <c r="G59" s="28">
        <f>G29/-G45*365</f>
        <v/>
      </c>
      <c r="H59" s="28">
        <f>H29/-H45*365</f>
        <v/>
      </c>
      <c r="I59" s="28">
        <f>I29/-I45*365</f>
        <v/>
      </c>
      <c r="J59" s="28">
        <f>J29/-J45*365</f>
        <v/>
      </c>
      <c r="K59" s="28">
        <f>K29/-K45*365</f>
        <v/>
      </c>
    </row>
    <row r="60">
      <c r="B60" s="6" t="inlineStr">
        <is>
          <t>Prazo médio de pagamento (dias)</t>
        </is>
      </c>
      <c r="C60" s="28">
        <f>C35/-C45*365</f>
        <v/>
      </c>
      <c r="D60" s="28">
        <f>D35/-D45*365</f>
        <v/>
      </c>
      <c r="E60" s="28">
        <f>E35/-E45*365</f>
        <v/>
      </c>
      <c r="F60" s="28">
        <f>F35/-F45*365</f>
        <v/>
      </c>
      <c r="G60" s="28">
        <f>G35/-G45*365</f>
        <v/>
      </c>
      <c r="H60" s="28">
        <f>H35/-H45*365</f>
        <v/>
      </c>
      <c r="I60" s="28">
        <f>I35/-I45*365</f>
        <v/>
      </c>
      <c r="J60" s="28">
        <f>J35/-J45*365</f>
        <v/>
      </c>
      <c r="K60" s="28">
        <f>K35/-K45*365</f>
        <v/>
      </c>
    </row>
    <row r="61">
      <c r="B61" s="6" t="inlineStr">
        <is>
          <t>Ciclo de caixa (dias)</t>
        </is>
      </c>
      <c r="C61" s="28">
        <f>C58+C59-C60</f>
        <v/>
      </c>
      <c r="D61" s="28">
        <f>D58+D59-D60</f>
        <v/>
      </c>
      <c r="E61" s="28">
        <f>E58+E59-E60</f>
        <v/>
      </c>
      <c r="F61" s="28">
        <f>F58+F59-F60</f>
        <v/>
      </c>
      <c r="G61" s="28">
        <f>G58+G59-G60</f>
        <v/>
      </c>
      <c r="H61" s="28">
        <f>H58+H59-H60</f>
        <v/>
      </c>
      <c r="I61" s="28">
        <f>I58+I59-I60</f>
        <v/>
      </c>
      <c r="J61" s="28">
        <f>J58+J59-J60</f>
        <v/>
      </c>
      <c r="K61" s="28">
        <f>K58+K59-K60</f>
        <v/>
      </c>
    </row>
    <row r="62">
      <c r="B62" s="6" t="inlineStr">
        <is>
          <t>Capital de giro (receber + estoques - fornecedores)</t>
        </is>
      </c>
      <c r="C62" s="12">
        <f>C28+C29-C35</f>
        <v/>
      </c>
      <c r="D62" s="12">
        <f>D28+D29-D35</f>
        <v/>
      </c>
      <c r="E62" s="12">
        <f>E28+E29-E35</f>
        <v/>
      </c>
      <c r="F62" s="12">
        <f>F28+F29-F35</f>
        <v/>
      </c>
      <c r="G62" s="12">
        <f>G28+G29-G35</f>
        <v/>
      </c>
      <c r="H62" s="12">
        <f>H28+H29-H35</f>
        <v/>
      </c>
      <c r="I62" s="12">
        <f>I28+I29-I35</f>
        <v/>
      </c>
      <c r="J62" s="12">
        <f>J28+J29-J35</f>
        <v/>
      </c>
      <c r="K62" s="12">
        <f>K28+K29-K35</f>
        <v/>
      </c>
    </row>
    <row r="63">
      <c r="B63" s="6" t="inlineStr">
        <is>
          <t>Caixa e aplicações</t>
        </is>
      </c>
      <c r="C63" s="12">
        <f>C26+C27</f>
        <v/>
      </c>
      <c r="D63" s="12">
        <f>D26+D27</f>
        <v/>
      </c>
      <c r="E63" s="12">
        <f>E26+E27</f>
        <v/>
      </c>
      <c r="F63" s="12">
        <f>F26+F27</f>
        <v/>
      </c>
      <c r="G63" s="12">
        <f>G26+G27</f>
        <v/>
      </c>
      <c r="H63" s="12">
        <f>H26+H27</f>
        <v/>
      </c>
      <c r="I63" s="12">
        <f>I26+I27</f>
        <v/>
      </c>
      <c r="J63" s="12">
        <f>J26+J27</f>
        <v/>
      </c>
      <c r="K63" s="12">
        <f>K26+K27</f>
        <v/>
      </c>
    </row>
    <row r="64">
      <c r="B64" s="6" t="inlineStr">
        <is>
          <t>Dívida bruta</t>
        </is>
      </c>
      <c r="C64" s="12">
        <f>C36+C38</f>
        <v/>
      </c>
      <c r="D64" s="12">
        <f>D36+D38</f>
        <v/>
      </c>
      <c r="E64" s="12">
        <f>E36+E38</f>
        <v/>
      </c>
      <c r="F64" s="12">
        <f>F36+F38</f>
        <v/>
      </c>
      <c r="G64" s="12">
        <f>G36+G38</f>
        <v/>
      </c>
      <c r="H64" s="12">
        <f>H36+H38</f>
        <v/>
      </c>
      <c r="I64" s="12">
        <f>I36+I38</f>
        <v/>
      </c>
      <c r="J64" s="12">
        <f>J36+J38</f>
        <v/>
      </c>
      <c r="K64" s="12">
        <f>K36+K38</f>
        <v/>
      </c>
    </row>
    <row r="65">
      <c r="B65" s="6" t="inlineStr">
        <is>
          <t>Dívida líquida</t>
        </is>
      </c>
      <c r="C65" s="12">
        <f>C64-C63</f>
        <v/>
      </c>
      <c r="D65" s="12">
        <f>D64-D63</f>
        <v/>
      </c>
      <c r="E65" s="12">
        <f>E64-E63</f>
        <v/>
      </c>
      <c r="F65" s="12">
        <f>F64-F63</f>
        <v/>
      </c>
      <c r="G65" s="12">
        <f>G64-G63</f>
        <v/>
      </c>
      <c r="H65" s="12">
        <f>H64-H63</f>
        <v/>
      </c>
      <c r="I65" s="12">
        <f>I64-I63</f>
        <v/>
      </c>
      <c r="J65" s="12">
        <f>J64-J63</f>
        <v/>
      </c>
      <c r="K65" s="12">
        <f>K64-K63</f>
        <v/>
      </c>
    </row>
    <row r="66">
      <c r="B66" s="6" t="inlineStr">
        <is>
          <t>Dívida líquida / EBITDA</t>
        </is>
      </c>
      <c r="C66" s="29">
        <f>C65/C42</f>
        <v/>
      </c>
      <c r="D66" s="29">
        <f>D65/D42</f>
        <v/>
      </c>
      <c r="E66" s="29">
        <f>E65/E42</f>
        <v/>
      </c>
      <c r="F66" s="29">
        <f>F65/F42</f>
        <v/>
      </c>
      <c r="G66" s="29">
        <f>G65/G42</f>
        <v/>
      </c>
      <c r="H66" s="29">
        <f>H65/H42</f>
        <v/>
      </c>
      <c r="I66" s="29">
        <f>I65/I42</f>
        <v/>
      </c>
      <c r="J66" s="29">
        <f>J65/J42</f>
        <v/>
      </c>
      <c r="K66" s="29">
        <f>K65/K42</f>
        <v/>
      </c>
    </row>
    <row r="67">
      <c r="B67" s="6" t="inlineStr">
        <is>
          <t>Liquidez corrente</t>
        </is>
      </c>
      <c r="C67" s="30">
        <f>C30/C37</f>
        <v/>
      </c>
      <c r="D67" s="30">
        <f>D30/D37</f>
        <v/>
      </c>
      <c r="E67" s="30">
        <f>E30/E37</f>
        <v/>
      </c>
      <c r="F67" s="30">
        <f>F30/F37</f>
        <v/>
      </c>
      <c r="G67" s="30">
        <f>G30/G37</f>
        <v/>
      </c>
      <c r="H67" s="30">
        <f>H30/H37</f>
        <v/>
      </c>
      <c r="I67" s="30">
        <f>I30/I37</f>
        <v/>
      </c>
      <c r="J67" s="30">
        <f>J30/J37</f>
        <v/>
      </c>
      <c r="K67" s="30">
        <f>K30/K37</f>
        <v/>
      </c>
    </row>
    <row r="68">
      <c r="B68" s="6" t="inlineStr">
        <is>
          <t>ROE (lucro dos controladores / patrimônio dos controladores)</t>
        </is>
      </c>
      <c r="C68" s="11">
        <f>C19/(C39-C40)</f>
        <v/>
      </c>
      <c r="D68" s="11">
        <f>D19/(D39-D40)</f>
        <v/>
      </c>
      <c r="E68" s="11">
        <f>E19/(E39-E40)</f>
        <v/>
      </c>
      <c r="F68" s="11">
        <f>F19/(F39-F40)</f>
        <v/>
      </c>
      <c r="G68" s="11">
        <f>G19/(G39-G40)</f>
        <v/>
      </c>
      <c r="H68" s="11">
        <f>H19/(H39-H40)</f>
        <v/>
      </c>
      <c r="I68" s="11">
        <f>I19/(I39-I40)</f>
        <v/>
      </c>
      <c r="J68" s="11">
        <f>J19/(J39-J40)</f>
        <v/>
      </c>
      <c r="K68" s="11">
        <f>K19/(K39-K40)</f>
        <v/>
      </c>
    </row>
    <row r="69">
      <c r="B69" s="6" t="inlineStr">
        <is>
          <t>ROIC (NOPAT / capital de giro + ativo fixo)</t>
        </is>
      </c>
      <c r="C69" s="11">
        <f>C47/(C62+C55)</f>
        <v/>
      </c>
      <c r="D69" s="11">
        <f>D47/(D62+D55)</f>
        <v/>
      </c>
      <c r="E69" s="11">
        <f>E47/(E62+E55)</f>
        <v/>
      </c>
      <c r="F69" s="11">
        <f>F47/(F62+F55)</f>
        <v/>
      </c>
      <c r="G69" s="11">
        <f>G47/(G62+G55)</f>
        <v/>
      </c>
      <c r="H69" s="11">
        <f>H47/(H62+H55)</f>
        <v/>
      </c>
      <c r="I69" s="11">
        <f>I47/(I62+I55)</f>
        <v/>
      </c>
      <c r="J69" s="11">
        <f>J47/(J62+J55)</f>
        <v/>
      </c>
      <c r="K69" s="11">
        <f>K47/(K62+K55)</f>
        <v/>
      </c>
    </row>
    <row r="70">
      <c r="B70" s="6" t="inlineStr">
        <is>
          <t>Caixa operacional menos capex</t>
        </is>
      </c>
      <c r="C70" s="12">
        <f>C22-C23</f>
        <v/>
      </c>
      <c r="D70" s="12">
        <f>D22-D23</f>
        <v/>
      </c>
      <c r="E70" s="12">
        <f>E22-E23</f>
        <v/>
      </c>
      <c r="F70" s="12">
        <f>F22-F23</f>
        <v/>
      </c>
      <c r="G70" s="12">
        <f>G22-G23</f>
        <v/>
      </c>
      <c r="H70" s="12">
        <f>H22-H23</f>
        <v/>
      </c>
      <c r="I70" s="12">
        <f>I22-I23</f>
        <v/>
      </c>
      <c r="J70" s="12">
        <f>J22-J23</f>
        <v/>
      </c>
      <c r="K70" s="12">
        <f>K22-K23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4" customWidth="1" min="9" max="9"/>
  </cols>
  <sheetData>
    <row r="1">
      <c r="B1" s="1" t="inlineStr">
        <is>
          <t>Projeção - Gerdau</t>
        </is>
      </c>
    </row>
    <row r="2">
      <c r="B2" s="2" t="inlineStr">
        <is>
          <t>DRE, balanço e fluxo de caixa ligados. Custos e despesas em valor positivo. 2025 é o realizado; os demais anos são fórmulas sobre as premissas.</t>
        </is>
      </c>
    </row>
    <row r="4">
      <c r="B4" s="4" t="inlineStr">
        <is>
          <t>R$ milhões</t>
        </is>
      </c>
      <c r="C4" s="5" t="n">
        <v>2025</v>
      </c>
      <c r="D4" s="5" t="inlineStr">
        <is>
          <t>2026E</t>
        </is>
      </c>
      <c r="E4" s="5" t="inlineStr">
        <is>
          <t>2027E</t>
        </is>
      </c>
      <c r="F4" s="5" t="inlineStr">
        <is>
          <t>2028E</t>
        </is>
      </c>
      <c r="G4" s="5" t="inlineStr">
        <is>
          <t>2029E</t>
        </is>
      </c>
      <c r="H4" s="5" t="inlineStr">
        <is>
          <t>2030E</t>
        </is>
      </c>
    </row>
    <row r="5">
      <c r="B5" s="26" t="inlineStr">
        <is>
          <t>Demonstração do resultado</t>
        </is>
      </c>
      <c r="C5" s="27" t="n"/>
      <c r="D5" s="27" t="n"/>
      <c r="E5" s="27" t="n"/>
      <c r="F5" s="27" t="n"/>
      <c r="G5" s="27" t="n"/>
      <c r="H5" s="27" t="n"/>
    </row>
    <row r="6">
      <c r="B6" s="8" t="inlineStr">
        <is>
          <t>Receita líquida</t>
        </is>
      </c>
      <c r="C6" s="31">
        <f>'Histórico'!J6</f>
        <v/>
      </c>
      <c r="D6" s="31">
        <f>C6*(1+'Premissas'!D14)</f>
        <v/>
      </c>
      <c r="E6" s="31">
        <f>D6*(1+'Premissas'!E14)</f>
        <v/>
      </c>
      <c r="F6" s="31">
        <f>E6*(1+'Premissas'!F14)</f>
        <v/>
      </c>
      <c r="G6" s="31">
        <f>F6*(1+'Premissas'!G14)</f>
        <v/>
      </c>
      <c r="H6" s="31">
        <f>G6*(1+'Premissas'!H14)</f>
        <v/>
      </c>
    </row>
    <row r="7">
      <c r="B7" s="6" t="inlineStr">
        <is>
          <t>(-) Custo dos produtos (sem depreciação)</t>
        </is>
      </c>
      <c r="C7" s="12">
        <f>-'Histórico'!J45</f>
        <v/>
      </c>
      <c r="D7" s="12">
        <f>D6-D8+D9-D10</f>
        <v/>
      </c>
      <c r="E7" s="12">
        <f>E6-E8+E9-E10</f>
        <v/>
      </c>
      <c r="F7" s="12">
        <f>F6-F8+F9-F10</f>
        <v/>
      </c>
      <c r="G7" s="12">
        <f>G6-G8+G9-G10</f>
        <v/>
      </c>
      <c r="H7" s="12">
        <f>H6-H8+H9-H10</f>
        <v/>
      </c>
    </row>
    <row r="8">
      <c r="B8" s="6" t="inlineStr">
        <is>
          <t>(-) Despesas operacionais (vendas, administrativas e outras)</t>
        </is>
      </c>
      <c r="C8" s="12">
        <f>-('Histórico'!J9+'Histórico'!J10+'Histórico'!J46)</f>
        <v/>
      </c>
      <c r="D8" s="12">
        <f>D6*'Premissas'!D18</f>
        <v/>
      </c>
      <c r="E8" s="12">
        <f>E6*'Premissas'!E18</f>
        <v/>
      </c>
      <c r="F8" s="12">
        <f>F6*'Premissas'!F18</f>
        <v/>
      </c>
      <c r="G8" s="12">
        <f>G6*'Premissas'!G18</f>
        <v/>
      </c>
      <c r="H8" s="12">
        <f>H6*'Premissas'!H18</f>
        <v/>
      </c>
    </row>
    <row r="9">
      <c r="B9" s="6" t="inlineStr">
        <is>
          <t>(+/-) Equivalência patrimonial</t>
        </is>
      </c>
      <c r="C9" s="12">
        <f>'Histórico'!J13</f>
        <v/>
      </c>
      <c r="D9" s="12">
        <f>'Premissas'!D19</f>
        <v/>
      </c>
      <c r="E9" s="12">
        <f>'Premissas'!E19</f>
        <v/>
      </c>
      <c r="F9" s="12">
        <f>'Premissas'!F19</f>
        <v/>
      </c>
      <c r="G9" s="12">
        <f>'Premissas'!G19</f>
        <v/>
      </c>
      <c r="H9" s="12">
        <f>'Premissas'!H19</f>
        <v/>
      </c>
    </row>
    <row r="10">
      <c r="B10" s="8" t="inlineStr">
        <is>
          <t>EBITDA</t>
        </is>
      </c>
      <c r="C10" s="31">
        <f>C6-C7-C8+C9</f>
        <v/>
      </c>
      <c r="D10" s="31">
        <f>D6*'Premissas'!D15</f>
        <v/>
      </c>
      <c r="E10" s="31">
        <f>E6*'Premissas'!E15</f>
        <v/>
      </c>
      <c r="F10" s="31">
        <f>F6*'Premissas'!F15</f>
        <v/>
      </c>
      <c r="G10" s="31">
        <f>G6*'Premissas'!G15</f>
        <v/>
      </c>
      <c r="H10" s="31">
        <f>H6*'Premissas'!H15</f>
        <v/>
      </c>
    </row>
    <row r="11">
      <c r="B11" s="6" t="inlineStr">
        <is>
          <t>(-) Depreciação e amortização</t>
        </is>
      </c>
      <c r="C11" s="12">
        <f>'Histórico'!J21</f>
        <v/>
      </c>
      <c r="D11" s="12">
        <f>C23*'Premissas'!D21</f>
        <v/>
      </c>
      <c r="E11" s="12">
        <f>D23*'Premissas'!E21</f>
        <v/>
      </c>
      <c r="F11" s="12">
        <f>E23*'Premissas'!F21</f>
        <v/>
      </c>
      <c r="G11" s="12">
        <f>F23*'Premissas'!G21</f>
        <v/>
      </c>
      <c r="H11" s="12">
        <f>G23*'Premissas'!H21</f>
        <v/>
      </c>
    </row>
    <row r="12">
      <c r="B12" s="8" t="inlineStr">
        <is>
          <t>EBIT</t>
        </is>
      </c>
      <c r="C12" s="31">
        <f>C10-C11</f>
        <v/>
      </c>
      <c r="D12" s="31">
        <f>D10-D11</f>
        <v/>
      </c>
      <c r="E12" s="31">
        <f>E10-E11</f>
        <v/>
      </c>
      <c r="F12" s="31">
        <f>F10-F11</f>
        <v/>
      </c>
      <c r="G12" s="31">
        <f>G10-G11</f>
        <v/>
      </c>
      <c r="H12" s="31">
        <f>H10-H11</f>
        <v/>
      </c>
    </row>
    <row r="13">
      <c r="B13" s="6" t="inlineStr">
        <is>
          <t>(+) Rendimento do caixa</t>
        </is>
      </c>
      <c r="D13" s="12">
        <f>C38*'Premissas'!$D$30</f>
        <v/>
      </c>
      <c r="E13" s="12">
        <f>D38*'Premissas'!$D$30</f>
        <v/>
      </c>
      <c r="F13" s="12">
        <f>E38*'Premissas'!$D$30</f>
        <v/>
      </c>
      <c r="G13" s="12">
        <f>F38*'Premissas'!$D$30</f>
        <v/>
      </c>
      <c r="H13" s="12">
        <f>G38*'Premissas'!$D$30</f>
        <v/>
      </c>
    </row>
    <row r="14">
      <c r="B14" s="6" t="inlineStr">
        <is>
          <t>(-) Juros da dívida</t>
        </is>
      </c>
      <c r="D14" s="12">
        <f>C42*'Premissas'!$D$29</f>
        <v/>
      </c>
      <c r="E14" s="12">
        <f>D42*'Premissas'!$D$29</f>
        <v/>
      </c>
      <c r="F14" s="12">
        <f>E42*'Premissas'!$D$29</f>
        <v/>
      </c>
      <c r="G14" s="12">
        <f>F42*'Premissas'!$D$29</f>
        <v/>
      </c>
      <c r="H14" s="12">
        <f>G42*'Premissas'!$D$29</f>
        <v/>
      </c>
    </row>
    <row r="15">
      <c r="B15" s="6" t="inlineStr">
        <is>
          <t>(+/-) Resultado financeiro</t>
        </is>
      </c>
      <c r="C15" s="12">
        <f>'Histórico'!J15</f>
        <v/>
      </c>
      <c r="D15" s="12">
        <f>D13-D14</f>
        <v/>
      </c>
      <c r="E15" s="12">
        <f>E13-E14</f>
        <v/>
      </c>
      <c r="F15" s="12">
        <f>F13-F14</f>
        <v/>
      </c>
      <c r="G15" s="12">
        <f>G13-G14</f>
        <v/>
      </c>
      <c r="H15" s="12">
        <f>H13-H14</f>
        <v/>
      </c>
    </row>
    <row r="16">
      <c r="B16" s="6" t="inlineStr">
        <is>
          <t>Lucro antes dos tributos</t>
        </is>
      </c>
      <c r="C16" s="12">
        <f>C12+C15</f>
        <v/>
      </c>
      <c r="D16" s="12">
        <f>D12+D15</f>
        <v/>
      </c>
      <c r="E16" s="12">
        <f>E12+E15</f>
        <v/>
      </c>
      <c r="F16" s="12">
        <f>F12+F15</f>
        <v/>
      </c>
      <c r="G16" s="12">
        <f>G12+G15</f>
        <v/>
      </c>
      <c r="H16" s="12">
        <f>H12+H15</f>
        <v/>
      </c>
    </row>
    <row r="17">
      <c r="B17" s="6" t="inlineStr">
        <is>
          <t>(-) Imposto de renda e CSLL</t>
        </is>
      </c>
      <c r="C17" s="12">
        <f>-'Histórico'!J17</f>
        <v/>
      </c>
      <c r="D17" s="12">
        <f>MAX(0,D16-D9)*'Premissas'!$D$28</f>
        <v/>
      </c>
      <c r="E17" s="12">
        <f>MAX(0,E16-E9)*'Premissas'!$D$28</f>
        <v/>
      </c>
      <c r="F17" s="12">
        <f>MAX(0,F16-F9)*'Premissas'!$D$28</f>
        <v/>
      </c>
      <c r="G17" s="12">
        <f>MAX(0,G16-G9)*'Premissas'!$D$28</f>
        <v/>
      </c>
      <c r="H17" s="12">
        <f>MAX(0,H16-H9)*'Premissas'!$D$28</f>
        <v/>
      </c>
    </row>
    <row r="18">
      <c r="B18" s="8" t="inlineStr">
        <is>
          <t>Lucro líquido</t>
        </is>
      </c>
      <c r="C18" s="31">
        <f>C16-C17</f>
        <v/>
      </c>
      <c r="D18" s="31">
        <f>D16-D17</f>
        <v/>
      </c>
      <c r="E18" s="31">
        <f>E16-E17</f>
        <v/>
      </c>
      <c r="F18" s="31">
        <f>F16-F17</f>
        <v/>
      </c>
      <c r="G18" s="31">
        <f>G16-G17</f>
        <v/>
      </c>
      <c r="H18" s="31">
        <f>H16-H17</f>
        <v/>
      </c>
    </row>
    <row r="19">
      <c r="B19" s="6" t="inlineStr">
        <is>
          <t>NOPAT (EBIT sem equivalência, após imposto)</t>
        </is>
      </c>
      <c r="C19" s="12">
        <f>(C12-C9)*(1-'Premissas'!$D$28)</f>
        <v/>
      </c>
      <c r="D19" s="12">
        <f>(D12-D9)*(1-'Premissas'!$D$28)</f>
        <v/>
      </c>
      <c r="E19" s="12">
        <f>(E12-E9)*(1-'Premissas'!$D$28)</f>
        <v/>
      </c>
      <c r="F19" s="12">
        <f>(F12-F9)*(1-'Premissas'!$D$28)</f>
        <v/>
      </c>
      <c r="G19" s="12">
        <f>(G12-G9)*(1-'Premissas'!$D$28)</f>
        <v/>
      </c>
      <c r="H19" s="12">
        <f>(H12-H9)*(1-'Premissas'!$D$28)</f>
        <v/>
      </c>
    </row>
    <row r="21">
      <c r="B21" s="26" t="inlineStr">
        <is>
          <t>Investimento, depreciação e capital de giro</t>
        </is>
      </c>
      <c r="C21" s="27" t="n"/>
      <c r="D21" s="27" t="n"/>
      <c r="E21" s="27" t="n"/>
      <c r="F21" s="27" t="n"/>
      <c r="G21" s="27" t="n"/>
      <c r="H21" s="27" t="n"/>
    </row>
    <row r="22">
      <c r="B22" s="6" t="inlineStr">
        <is>
          <t>Capex</t>
        </is>
      </c>
      <c r="C22" s="12">
        <f>'Histórico'!J23</f>
        <v/>
      </c>
      <c r="D22" s="12">
        <f>D6*'Premissas'!D20</f>
        <v/>
      </c>
      <c r="E22" s="12">
        <f>E6*'Premissas'!E20</f>
        <v/>
      </c>
      <c r="F22" s="12">
        <f>F6*'Premissas'!F20</f>
        <v/>
      </c>
      <c r="G22" s="12">
        <f>G6*'Premissas'!G20</f>
        <v/>
      </c>
      <c r="H22" s="12">
        <f>H6*'Premissas'!H20</f>
        <v/>
      </c>
    </row>
    <row r="23">
      <c r="B23" s="6" t="inlineStr">
        <is>
          <t>Ativo fixo (imobilizado + intangível)</t>
        </is>
      </c>
      <c r="C23" s="12">
        <f>'Histórico'!J55</f>
        <v/>
      </c>
      <c r="D23" s="12">
        <f>C23+D22-D11</f>
        <v/>
      </c>
      <c r="E23" s="12">
        <f>D23+E22-E11</f>
        <v/>
      </c>
      <c r="F23" s="12">
        <f>E23+F22-F11</f>
        <v/>
      </c>
      <c r="G23" s="12">
        <f>F23+G22-G11</f>
        <v/>
      </c>
      <c r="H23" s="12">
        <f>G23+H22-H11</f>
        <v/>
      </c>
    </row>
    <row r="24">
      <c r="B24" s="6" t="inlineStr">
        <is>
          <t>Contas a receber</t>
        </is>
      </c>
      <c r="C24" s="12">
        <f>'Histórico'!J28</f>
        <v/>
      </c>
      <c r="D24" s="12">
        <f>D6*'Premissas'!D22/365</f>
        <v/>
      </c>
      <c r="E24" s="12">
        <f>E6*'Premissas'!E22/365</f>
        <v/>
      </c>
      <c r="F24" s="12">
        <f>F6*'Premissas'!F22/365</f>
        <v/>
      </c>
      <c r="G24" s="12">
        <f>G6*'Premissas'!G22/365</f>
        <v/>
      </c>
      <c r="H24" s="12">
        <f>H6*'Premissas'!H22/365</f>
        <v/>
      </c>
    </row>
    <row r="25">
      <c r="B25" s="6" t="inlineStr">
        <is>
          <t>Estoques</t>
        </is>
      </c>
      <c r="C25" s="12">
        <f>'Histórico'!J29</f>
        <v/>
      </c>
      <c r="D25" s="12">
        <f>D7*'Premissas'!D23/365</f>
        <v/>
      </c>
      <c r="E25" s="12">
        <f>E7*'Premissas'!E23/365</f>
        <v/>
      </c>
      <c r="F25" s="12">
        <f>F7*'Premissas'!F23/365</f>
        <v/>
      </c>
      <c r="G25" s="12">
        <f>G7*'Premissas'!G23/365</f>
        <v/>
      </c>
      <c r="H25" s="12">
        <f>H7*'Premissas'!H23/365</f>
        <v/>
      </c>
    </row>
    <row r="26">
      <c r="B26" s="6" t="inlineStr">
        <is>
          <t>Fornecedores</t>
        </is>
      </c>
      <c r="C26" s="12">
        <f>'Histórico'!J35</f>
        <v/>
      </c>
      <c r="D26" s="12">
        <f>D7*'Premissas'!D24/365</f>
        <v/>
      </c>
      <c r="E26" s="12">
        <f>E7*'Premissas'!E24/365</f>
        <v/>
      </c>
      <c r="F26" s="12">
        <f>F7*'Premissas'!F24/365</f>
        <v/>
      </c>
      <c r="G26" s="12">
        <f>G7*'Premissas'!G24/365</f>
        <v/>
      </c>
      <c r="H26" s="12">
        <f>H7*'Premissas'!H24/365</f>
        <v/>
      </c>
    </row>
    <row r="27">
      <c r="B27" s="8" t="inlineStr">
        <is>
          <t>Capital de giro</t>
        </is>
      </c>
      <c r="C27" s="31">
        <f>C24+C25-C26</f>
        <v/>
      </c>
      <c r="D27" s="31">
        <f>D24+D25-D26</f>
        <v/>
      </c>
      <c r="E27" s="31">
        <f>E24+E25-E26</f>
        <v/>
      </c>
      <c r="F27" s="31">
        <f>F24+F25-F26</f>
        <v/>
      </c>
      <c r="G27" s="31">
        <f>G24+G25-G26</f>
        <v/>
      </c>
      <c r="H27" s="31">
        <f>H24+H25-H26</f>
        <v/>
      </c>
    </row>
    <row r="28">
      <c r="B28" s="6" t="inlineStr">
        <is>
          <t>Variação do capital de giro (investimento em giro)</t>
        </is>
      </c>
      <c r="D28" s="12">
        <f>D27-C27</f>
        <v/>
      </c>
      <c r="E28" s="12">
        <f>E27-D27</f>
        <v/>
      </c>
      <c r="F28" s="12">
        <f>F27-E27</f>
        <v/>
      </c>
      <c r="G28" s="12">
        <f>G27-F27</f>
        <v/>
      </c>
      <c r="H28" s="12">
        <f>H27-G27</f>
        <v/>
      </c>
    </row>
    <row r="30">
      <c r="B30" s="26" t="inlineStr">
        <is>
          <t>Fluxos de caixa livres</t>
        </is>
      </c>
      <c r="C30" s="27" t="n"/>
      <c r="D30" s="27" t="n"/>
      <c r="E30" s="27" t="n"/>
      <c r="F30" s="27" t="n"/>
      <c r="G30" s="27" t="n"/>
      <c r="H30" s="27" t="n"/>
    </row>
    <row r="31">
      <c r="B31" s="8" t="inlineStr">
        <is>
          <t>FCFF - fluxo de caixa livre da empresa</t>
        </is>
      </c>
      <c r="D31" s="31">
        <f>D19+D11-D22-D28</f>
        <v/>
      </c>
      <c r="E31" s="31">
        <f>E19+E11-E22-E28</f>
        <v/>
      </c>
      <c r="F31" s="31">
        <f>F19+F11-F22-F28</f>
        <v/>
      </c>
      <c r="G31" s="31">
        <f>G19+G11-G22-G28</f>
        <v/>
      </c>
      <c r="H31" s="31">
        <f>H19+H11-H22-H28</f>
        <v/>
      </c>
    </row>
    <row r="32">
      <c r="B32" s="6" t="inlineStr">
        <is>
          <t>(+) Captação líquida de dívida</t>
        </is>
      </c>
      <c r="D32" s="12">
        <f>'Premissas'!D25</f>
        <v/>
      </c>
      <c r="E32" s="12">
        <f>'Premissas'!E25</f>
        <v/>
      </c>
      <c r="F32" s="12">
        <f>'Premissas'!F25</f>
        <v/>
      </c>
      <c r="G32" s="12">
        <f>'Premissas'!G25</f>
        <v/>
      </c>
      <c r="H32" s="12">
        <f>'Premissas'!H25</f>
        <v/>
      </c>
    </row>
    <row r="33">
      <c r="B33" s="8" t="inlineStr">
        <is>
          <t>FCFE - fluxo de caixa livre do acionista</t>
        </is>
      </c>
      <c r="D33" s="31">
        <f>D18-D9+D11-D22-D28+D32</f>
        <v/>
      </c>
      <c r="E33" s="31">
        <f>E18-E9+E11-E22-E28+E32</f>
        <v/>
      </c>
      <c r="F33" s="31">
        <f>F18-F9+F11-F22-F28+F32</f>
        <v/>
      </c>
      <c r="G33" s="31">
        <f>G18-G9+G11-G22-G28+G32</f>
        <v/>
      </c>
      <c r="H33" s="31">
        <f>H18-H9+H11-H22-H28+H32</f>
        <v/>
      </c>
    </row>
    <row r="34">
      <c r="B34" s="6" t="inlineStr">
        <is>
          <t>(-) Dividendos</t>
        </is>
      </c>
      <c r="D34" s="12">
        <f>MAX(0,D18)*'Premissas'!$D$31</f>
        <v/>
      </c>
      <c r="E34" s="12">
        <f>MAX(0,E18)*'Premissas'!$D$31</f>
        <v/>
      </c>
      <c r="F34" s="12">
        <f>MAX(0,F18)*'Premissas'!$D$31</f>
        <v/>
      </c>
      <c r="G34" s="12">
        <f>MAX(0,G18)*'Premissas'!$D$31</f>
        <v/>
      </c>
      <c r="H34" s="12">
        <f>MAX(0,H18)*'Premissas'!$D$31</f>
        <v/>
      </c>
    </row>
    <row r="35">
      <c r="B35" s="6" t="inlineStr">
        <is>
          <t>Variação do caixa</t>
        </is>
      </c>
      <c r="D35" s="12">
        <f>D33-D34</f>
        <v/>
      </c>
      <c r="E35" s="12">
        <f>E33-E34</f>
        <v/>
      </c>
      <c r="F35" s="12">
        <f>F33-F34</f>
        <v/>
      </c>
      <c r="G35" s="12">
        <f>G33-G34</f>
        <v/>
      </c>
      <c r="H35" s="12">
        <f>H33-H34</f>
        <v/>
      </c>
    </row>
    <row r="37">
      <c r="B37" s="26" t="inlineStr">
        <is>
          <t>Balanço patrimonial resumido</t>
        </is>
      </c>
      <c r="C37" s="27" t="n"/>
      <c r="D37" s="27" t="n"/>
      <c r="E37" s="27" t="n"/>
      <c r="F37" s="27" t="n"/>
      <c r="G37" s="27" t="n"/>
      <c r="H37" s="27" t="n"/>
    </row>
    <row r="38">
      <c r="B38" s="6" t="inlineStr">
        <is>
          <t>Caixa e aplicações</t>
        </is>
      </c>
      <c r="C38" s="12">
        <f>'Histórico'!J63</f>
        <v/>
      </c>
      <c r="D38" s="12">
        <f>C38+D35</f>
        <v/>
      </c>
      <c r="E38" s="12">
        <f>D38+E35</f>
        <v/>
      </c>
      <c r="F38" s="12">
        <f>E38+F35</f>
        <v/>
      </c>
      <c r="G38" s="12">
        <f>F38+G35</f>
        <v/>
      </c>
      <c r="H38" s="12">
        <f>G38+H35</f>
        <v/>
      </c>
    </row>
    <row r="39">
      <c r="B39" s="6" t="inlineStr">
        <is>
          <t>Investimentos em coligadas</t>
        </is>
      </c>
      <c r="C39" s="12">
        <f>'Histórico'!J31</f>
        <v/>
      </c>
      <c r="D39" s="12">
        <f>C39+D9</f>
        <v/>
      </c>
      <c r="E39" s="12">
        <f>D39+E9</f>
        <v/>
      </c>
      <c r="F39" s="12">
        <f>E39+F9</f>
        <v/>
      </c>
      <c r="G39" s="12">
        <f>F39+G9</f>
        <v/>
      </c>
      <c r="H39" s="12">
        <f>G39+H9</f>
        <v/>
      </c>
    </row>
    <row r="40">
      <c r="B40" s="6" t="inlineStr">
        <is>
          <t>Outros ativos (mantidos)</t>
        </is>
      </c>
      <c r="C40" s="12">
        <f>'Histórico'!J34-C38-C24-C25-C23-C39</f>
        <v/>
      </c>
      <c r="D40" s="12">
        <f>C40</f>
        <v/>
      </c>
      <c r="E40" s="12">
        <f>D40</f>
        <v/>
      </c>
      <c r="F40" s="12">
        <f>E40</f>
        <v/>
      </c>
      <c r="G40" s="12">
        <f>F40</f>
        <v/>
      </c>
      <c r="H40" s="12">
        <f>G40</f>
        <v/>
      </c>
    </row>
    <row r="41">
      <c r="B41" s="8" t="inlineStr">
        <is>
          <t>Ativo total</t>
        </is>
      </c>
      <c r="C41" s="31">
        <f>C38+C24+C25+C23+C39+C40</f>
        <v/>
      </c>
      <c r="D41" s="31">
        <f>D38+D24+D25+D23+D39+D40</f>
        <v/>
      </c>
      <c r="E41" s="31">
        <f>E38+E24+E25+E23+E39+E40</f>
        <v/>
      </c>
      <c r="F41" s="31">
        <f>F38+F24+F25+F23+F39+F40</f>
        <v/>
      </c>
      <c r="G41" s="31">
        <f>G38+G24+G25+G23+G39+G40</f>
        <v/>
      </c>
      <c r="H41" s="31">
        <f>H38+H24+H25+H23+H39+H40</f>
        <v/>
      </c>
    </row>
    <row r="42">
      <c r="B42" s="6" t="inlineStr">
        <is>
          <t>Dívida bruta</t>
        </is>
      </c>
      <c r="C42" s="12">
        <f>'Histórico'!J64</f>
        <v/>
      </c>
      <c r="D42" s="12">
        <f>C42+D32</f>
        <v/>
      </c>
      <c r="E42" s="12">
        <f>D42+E32</f>
        <v/>
      </c>
      <c r="F42" s="12">
        <f>E42+F32</f>
        <v/>
      </c>
      <c r="G42" s="12">
        <f>F42+G32</f>
        <v/>
      </c>
      <c r="H42" s="12">
        <f>G42+H32</f>
        <v/>
      </c>
    </row>
    <row r="43">
      <c r="B43" s="6" t="inlineStr">
        <is>
          <t>Outros passivos (mantidos)</t>
        </is>
      </c>
      <c r="C43" s="12">
        <f>'Histórico'!J34-C26-C42-C44</f>
        <v/>
      </c>
      <c r="D43" s="12">
        <f>C43</f>
        <v/>
      </c>
      <c r="E43" s="12">
        <f>D43</f>
        <v/>
      </c>
      <c r="F43" s="12">
        <f>E43</f>
        <v/>
      </c>
      <c r="G43" s="12">
        <f>F43</f>
        <v/>
      </c>
      <c r="H43" s="12">
        <f>G43</f>
        <v/>
      </c>
    </row>
    <row r="44">
      <c r="B44" s="6" t="inlineStr">
        <is>
          <t>Patrimônio líquido</t>
        </is>
      </c>
      <c r="C44" s="12">
        <f>'Histórico'!J39</f>
        <v/>
      </c>
      <c r="D44" s="12">
        <f>C44+D18-D34</f>
        <v/>
      </c>
      <c r="E44" s="12">
        <f>D44+E18-E34</f>
        <v/>
      </c>
      <c r="F44" s="12">
        <f>E44+F18-F34</f>
        <v/>
      </c>
      <c r="G44" s="12">
        <f>F44+G18-G34</f>
        <v/>
      </c>
      <c r="H44" s="12">
        <f>G44+H18-H34</f>
        <v/>
      </c>
    </row>
    <row r="45">
      <c r="B45" s="8" t="inlineStr">
        <is>
          <t>Passivo + patrimônio líquido</t>
        </is>
      </c>
      <c r="C45" s="31">
        <f>C26+C42+C43+C44</f>
        <v/>
      </c>
      <c r="D45" s="31">
        <f>D26+D42+D43+D44</f>
        <v/>
      </c>
      <c r="E45" s="31">
        <f>E26+E42+E43+E44</f>
        <v/>
      </c>
      <c r="F45" s="31">
        <f>F26+F42+F43+F44</f>
        <v/>
      </c>
      <c r="G45" s="31">
        <f>G26+G42+G43+G44</f>
        <v/>
      </c>
      <c r="H45" s="31">
        <f>H26+H42+H43+H44</f>
        <v/>
      </c>
    </row>
    <row r="46">
      <c r="B46" s="6" t="inlineStr">
        <is>
          <t>Checagem: ativo - passivo (tem de ser zero)</t>
        </is>
      </c>
      <c r="C46" s="12">
        <f>ROUND(C41-C45,3)</f>
        <v/>
      </c>
      <c r="D46" s="12">
        <f>ROUND(D41-D45,3)</f>
        <v/>
      </c>
      <c r="E46" s="12">
        <f>ROUND(E41-E45,3)</f>
        <v/>
      </c>
      <c r="F46" s="12">
        <f>ROUND(F41-F45,3)</f>
        <v/>
      </c>
      <c r="G46" s="12">
        <f>ROUND(G41-G45,3)</f>
        <v/>
      </c>
      <c r="H46" s="12">
        <f>ROUND(H41-H45,3)</f>
        <v/>
      </c>
    </row>
    <row r="48">
      <c r="B48" s="26" t="inlineStr">
        <is>
          <t>Indicadores</t>
        </is>
      </c>
      <c r="C48" s="27" t="n"/>
      <c r="D48" s="27" t="n"/>
      <c r="E48" s="27" t="n"/>
      <c r="F48" s="27" t="n"/>
      <c r="G48" s="27" t="n"/>
      <c r="H48" s="27" t="n"/>
    </row>
    <row r="49">
      <c r="B49" s="6" t="inlineStr">
        <is>
          <t>Crescimento da receita</t>
        </is>
      </c>
      <c r="D49" s="11">
        <f>D6/C6-1</f>
        <v/>
      </c>
      <c r="E49" s="11">
        <f>E6/D6-1</f>
        <v/>
      </c>
      <c r="F49" s="11">
        <f>F6/E6-1</f>
        <v/>
      </c>
      <c r="G49" s="11">
        <f>G6/F6-1</f>
        <v/>
      </c>
      <c r="H49" s="11">
        <f>H6/G6-1</f>
        <v/>
      </c>
    </row>
    <row r="50">
      <c r="B50" s="6" t="inlineStr">
        <is>
          <t>Margem EBITDA</t>
        </is>
      </c>
      <c r="C50" s="11">
        <f>C10/C6</f>
        <v/>
      </c>
      <c r="D50" s="11">
        <f>D10/D6</f>
        <v/>
      </c>
      <c r="E50" s="11">
        <f>E10/E6</f>
        <v/>
      </c>
      <c r="F50" s="11">
        <f>F10/F6</f>
        <v/>
      </c>
      <c r="G50" s="11">
        <f>G10/G6</f>
        <v/>
      </c>
      <c r="H50" s="11">
        <f>H10/H6</f>
        <v/>
      </c>
    </row>
    <row r="51">
      <c r="B51" s="6" t="inlineStr">
        <is>
          <t>Margem EBIT</t>
        </is>
      </c>
      <c r="C51" s="11">
        <f>C12/C6</f>
        <v/>
      </c>
      <c r="D51" s="11">
        <f>D12/D6</f>
        <v/>
      </c>
      <c r="E51" s="11">
        <f>E12/E6</f>
        <v/>
      </c>
      <c r="F51" s="11">
        <f>F12/F6</f>
        <v/>
      </c>
      <c r="G51" s="11">
        <f>G12/G6</f>
        <v/>
      </c>
      <c r="H51" s="11">
        <f>H12/H6</f>
        <v/>
      </c>
    </row>
    <row r="52">
      <c r="B52" s="6" t="inlineStr">
        <is>
          <t>Dívida líquida</t>
        </is>
      </c>
      <c r="C52" s="12">
        <f>C42-C38</f>
        <v/>
      </c>
      <c r="D52" s="12">
        <f>D42-D38</f>
        <v/>
      </c>
      <c r="E52" s="12">
        <f>E42-E38</f>
        <v/>
      </c>
      <c r="F52" s="12">
        <f>F42-F38</f>
        <v/>
      </c>
      <c r="G52" s="12">
        <f>G42-G38</f>
        <v/>
      </c>
      <c r="H52" s="12">
        <f>H42-H38</f>
        <v/>
      </c>
    </row>
    <row r="53">
      <c r="B53" s="6" t="inlineStr">
        <is>
          <t>Dívida líquida / EBITDA</t>
        </is>
      </c>
      <c r="C53" s="29">
        <f>C52/C10</f>
        <v/>
      </c>
      <c r="D53" s="29">
        <f>D52/D10</f>
        <v/>
      </c>
      <c r="E53" s="29">
        <f>E52/E10</f>
        <v/>
      </c>
      <c r="F53" s="29">
        <f>F52/F10</f>
        <v/>
      </c>
      <c r="G53" s="29">
        <f>G52/G10</f>
        <v/>
      </c>
      <c r="H53" s="29">
        <f>H52/H10</f>
        <v/>
      </c>
    </row>
    <row r="54">
      <c r="B54" s="6" t="inlineStr">
        <is>
          <t>ROIC (NOPAT / capital investido inicial)</t>
        </is>
      </c>
      <c r="D54" s="11">
        <f>D19/(C27+C23)</f>
        <v/>
      </c>
      <c r="E54" s="11">
        <f>E19/(D27+D23)</f>
        <v/>
      </c>
      <c r="F54" s="11">
        <f>F19/(E27+E23)</f>
        <v/>
      </c>
      <c r="G54" s="11">
        <f>G19/(F27+F23)</f>
        <v/>
      </c>
      <c r="H54" s="11">
        <f>H19/(G27+G23)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P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4" customWidth="1" min="17" max="17"/>
  </cols>
  <sheetData>
    <row r="1">
      <c r="B1" s="1" t="inlineStr">
        <is>
          <t>Valuation por múltiplos</t>
        </is>
      </c>
    </row>
    <row r="2">
      <c r="B2" s="2" t="inlineStr">
        <is>
          <t>Últimos doze meses. A mediana das comparáveis é aplicada aos números da empresa.</t>
        </is>
      </c>
    </row>
    <row r="4">
      <c r="B4" s="4" t="inlineStr">
        <is>
          <t>Empresa (R$ milhões)</t>
        </is>
      </c>
      <c r="C4" s="5" t="inlineStr">
        <is>
          <t>Setor</t>
        </is>
      </c>
      <c r="D4" s="5" t="inlineStr">
        <is>
          <t>Preço</t>
        </is>
      </c>
      <c r="E4" s="5" t="inlineStr">
        <is>
          <t>Valor de mercado</t>
        </is>
      </c>
      <c r="F4" s="5" t="inlineStr">
        <is>
          <t>Dívida líquida</t>
        </is>
      </c>
      <c r="G4" s="5" t="inlineStr">
        <is>
          <t>Minoritários</t>
        </is>
      </c>
      <c r="H4" s="5" t="inlineStr">
        <is>
          <t>EV</t>
        </is>
      </c>
      <c r="I4" s="5" t="inlineStr">
        <is>
          <t>EBITDA</t>
        </is>
      </c>
      <c r="J4" s="5" t="inlineStr">
        <is>
          <t>EBIT</t>
        </is>
      </c>
      <c r="K4" s="5" t="inlineStr">
        <is>
          <t>Lucro</t>
        </is>
      </c>
      <c r="L4" s="5" t="inlineStr">
        <is>
          <t>Patrimônio</t>
        </is>
      </c>
      <c r="M4" s="5" t="inlineStr">
        <is>
          <t>EV/EBITDA</t>
        </is>
      </c>
      <c r="N4" s="5" t="inlineStr">
        <is>
          <t>EV/EBIT</t>
        </is>
      </c>
      <c r="O4" s="5" t="inlineStr">
        <is>
          <t>P/L</t>
        </is>
      </c>
      <c r="P4" s="5" t="inlineStr">
        <is>
          <t>P/VP</t>
        </is>
      </c>
    </row>
    <row r="5">
      <c r="B5" s="8" t="inlineStr">
        <is>
          <t>Gerdau (GGBR4)</t>
        </is>
      </c>
      <c r="C5" s="32" t="inlineStr">
        <is>
          <t>Siderurgia</t>
        </is>
      </c>
      <c r="D5" s="33" t="n">
        <v>24.77</v>
      </c>
      <c r="E5" s="34" t="n">
        <v>46089.0479</v>
      </c>
      <c r="F5" s="34" t="n">
        <v>8117.595</v>
      </c>
      <c r="G5" s="34" t="n">
        <v>190.194</v>
      </c>
      <c r="H5" s="34">
        <f>E5+F5+G5</f>
        <v/>
      </c>
      <c r="I5" s="34" t="n">
        <v>8730.516</v>
      </c>
      <c r="J5" s="34" t="n">
        <v>5034.141</v>
      </c>
      <c r="K5" s="34" t="n">
        <v>2237.081</v>
      </c>
      <c r="L5" s="34" t="n">
        <v>53544.554</v>
      </c>
      <c r="M5" s="35">
        <f>H5/I5</f>
        <v/>
      </c>
      <c r="N5" s="35">
        <f>H5/J5</f>
        <v/>
      </c>
      <c r="O5" s="35">
        <f>IF(K5&gt;0,E5/K5,"n.a.")</f>
        <v/>
      </c>
      <c r="P5" s="35">
        <f>E5/L5</f>
        <v/>
      </c>
    </row>
    <row r="6">
      <c r="B6" s="6" t="inlineStr">
        <is>
          <t>Vale (VALE3)</t>
        </is>
      </c>
      <c r="C6" s="32" t="inlineStr">
        <is>
          <t>Mineração</t>
        </is>
      </c>
      <c r="D6" s="33" t="n">
        <v>67.64</v>
      </c>
      <c r="E6" s="34" t="n">
        <v>275454.8362</v>
      </c>
      <c r="F6" s="34" t="n">
        <v>68192</v>
      </c>
      <c r="G6" s="34" t="n">
        <v>4832</v>
      </c>
      <c r="H6" s="34">
        <f>E6+F6+G6</f>
        <v/>
      </c>
      <c r="I6" s="34" t="n">
        <v>51933</v>
      </c>
      <c r="J6" s="34" t="n">
        <v>34110</v>
      </c>
      <c r="K6" s="34" t="n">
        <v>10369</v>
      </c>
      <c r="L6" s="34" t="n">
        <v>196635</v>
      </c>
      <c r="M6" s="35">
        <f>H6/I6</f>
        <v/>
      </c>
      <c r="N6" s="35">
        <f>H6/J6</f>
        <v/>
      </c>
      <c r="O6" s="35">
        <f>IF(K6&gt;0,E6/K6,"n.a.")</f>
        <v/>
      </c>
      <c r="P6" s="35">
        <f>E6/L6</f>
        <v/>
      </c>
    </row>
    <row r="7">
      <c r="B7" s="6" t="inlineStr">
        <is>
          <t>CSN (CSNA3)</t>
        </is>
      </c>
      <c r="C7" s="32" t="inlineStr">
        <is>
          <t>Siderurgia</t>
        </is>
      </c>
      <c r="D7" s="33" t="n">
        <v>6.36</v>
      </c>
      <c r="E7" s="34" t="n">
        <v>8433.9575</v>
      </c>
      <c r="F7" s="34" t="n">
        <v>39079.806</v>
      </c>
      <c r="G7" s="34" t="n">
        <v>3074.044</v>
      </c>
      <c r="H7" s="34">
        <f>E7+F7+G7</f>
        <v/>
      </c>
      <c r="I7" s="34" t="n">
        <v>7727.263</v>
      </c>
      <c r="J7" s="34" t="n">
        <v>3345.416</v>
      </c>
      <c r="K7" s="34" t="n">
        <v>-2626.882</v>
      </c>
      <c r="L7" s="34" t="n">
        <v>12166.332</v>
      </c>
      <c r="M7" s="35">
        <f>H7/I7</f>
        <v/>
      </c>
      <c r="N7" s="35">
        <f>H7/J7</f>
        <v/>
      </c>
      <c r="O7" s="35">
        <f>IF(K7&gt;0,E7/K7,"n.a.")</f>
        <v/>
      </c>
      <c r="P7" s="35">
        <f>E7/L7</f>
        <v/>
      </c>
    </row>
    <row r="8">
      <c r="B8" s="6" t="inlineStr">
        <is>
          <t>Usiminas (USIM5)</t>
        </is>
      </c>
      <c r="C8" s="32" t="inlineStr">
        <is>
          <t>Siderurgia</t>
        </is>
      </c>
      <c r="D8" s="33" t="n">
        <v>7.21</v>
      </c>
      <c r="E8" s="34" t="n">
        <v>8625.687900000001</v>
      </c>
      <c r="F8" s="34" t="n">
        <v>-599.249</v>
      </c>
      <c r="G8" s="34" t="n">
        <v>2893.937</v>
      </c>
      <c r="H8" s="34">
        <f>E8+F8+G8</f>
        <v/>
      </c>
      <c r="I8" s="34" t="n">
        <v>164.986</v>
      </c>
      <c r="J8" s="34" t="n">
        <v>-982.3099999999999</v>
      </c>
      <c r="K8" s="34" t="n">
        <v>-2320.418</v>
      </c>
      <c r="L8" s="34" t="n">
        <v>20751.154</v>
      </c>
      <c r="M8" s="35">
        <f>H8/I8</f>
        <v/>
      </c>
      <c r="N8" s="35">
        <f>H8/J8</f>
        <v/>
      </c>
      <c r="O8" s="35">
        <f>IF(K8&gt;0,E8/K8,"n.a.")</f>
        <v/>
      </c>
      <c r="P8" s="35">
        <f>E8/L8</f>
        <v/>
      </c>
    </row>
    <row r="9">
      <c r="B9" s="6" t="inlineStr">
        <is>
          <t>CSN Mineração (CMIN3)</t>
        </is>
      </c>
      <c r="C9" s="32" t="inlineStr">
        <is>
          <t>Mineração</t>
        </is>
      </c>
      <c r="D9" s="33" t="n">
        <v>5.06</v>
      </c>
      <c r="E9" s="34" t="n">
        <v>27336.3233</v>
      </c>
      <c r="F9" s="34" t="n">
        <v>1025.104</v>
      </c>
      <c r="G9" s="34" t="n">
        <v>0.19</v>
      </c>
      <c r="H9" s="34">
        <f>E9+F9+G9</f>
        <v/>
      </c>
      <c r="I9" s="34" t="n">
        <v>6003.736</v>
      </c>
      <c r="J9" s="34" t="n">
        <v>4642.024</v>
      </c>
      <c r="K9" s="34" t="n">
        <v>2333.063</v>
      </c>
      <c r="L9" s="34" t="n">
        <v>7339.411</v>
      </c>
      <c r="M9" s="35">
        <f>H9/I9</f>
        <v/>
      </c>
      <c r="N9" s="35">
        <f>H9/J9</f>
        <v/>
      </c>
      <c r="O9" s="35">
        <f>IF(K9&gt;0,E9/K9,"n.a.")</f>
        <v/>
      </c>
      <c r="P9" s="35">
        <f>E9/L9</f>
        <v/>
      </c>
    </row>
    <row r="10">
      <c r="B10" s="8" t="inlineStr">
        <is>
          <t>Mediana das comparáveis (sem a empresa)</t>
        </is>
      </c>
      <c r="M10" s="36">
        <f>MEDIAN(M6:M9)</f>
        <v/>
      </c>
      <c r="N10" s="36">
        <f>MEDIAN(N6:N9)</f>
        <v/>
      </c>
      <c r="O10" s="36">
        <f>MEDIAN(O6:O9)</f>
        <v/>
      </c>
      <c r="P10" s="36">
        <f>MEDIAN(P6:P9)</f>
        <v/>
      </c>
    </row>
    <row r="12">
      <c r="B12" s="37" t="inlineStr">
        <is>
          <t>Preço por ação implícito</t>
        </is>
      </c>
      <c r="C12" s="37" t="inlineStr">
        <is>
          <t>R$ / ação</t>
        </is>
      </c>
      <c r="D12" s="37" t="inlineStr">
        <is>
          <t>Como</t>
        </is>
      </c>
    </row>
    <row r="13">
      <c r="B13" t="inlineStr">
        <is>
          <t>Pelo EV/EBITDA das comparáveis</t>
        </is>
      </c>
      <c r="C13" s="33">
        <f>IF(I5&gt;0,(M10*I5-F5-G5)/(E5/D5),"n.a.")</f>
        <v/>
      </c>
      <c r="D13" s="2" t="inlineStr">
        <is>
          <t>Mediana x EBITDA, menos dívida líquida e minoritários</t>
        </is>
      </c>
    </row>
    <row r="14">
      <c r="B14" t="inlineStr">
        <is>
          <t>Pelo EV/EBIT das comparáveis</t>
        </is>
      </c>
      <c r="C14" s="33">
        <f>IF(J5&gt;0,(N10*J5-F5-G5)/(E5/D5),"n.a.")</f>
        <v/>
      </c>
      <c r="D14" s="2" t="inlineStr">
        <is>
          <t>Mediana x EBIT, menos dívida líquida e minoritários</t>
        </is>
      </c>
    </row>
    <row r="15">
      <c r="B15" t="inlineStr">
        <is>
          <t>Pelo P/L das comparáveis</t>
        </is>
      </c>
      <c r="C15" s="33">
        <f>IF(K5&gt;0,O10*K5/(E5/D5),"n.a.")</f>
        <v/>
      </c>
      <c r="D15" s="2" t="inlineStr">
        <is>
          <t>Mediana x lucro (não se aplica com prejuízo)</t>
        </is>
      </c>
    </row>
    <row r="16">
      <c r="B16" t="inlineStr">
        <is>
          <t>Pelo P/VP das comparáveis</t>
        </is>
      </c>
      <c r="C16" s="33">
        <f>P10*L5/(E5/D5)</f>
        <v/>
      </c>
      <c r="D16" s="2" t="inlineStr">
        <is>
          <t>Mediana x patrimônio dos controladores</t>
        </is>
      </c>
    </row>
    <row r="17">
      <c r="B17" t="inlineStr">
        <is>
          <t>Pelo fluxo de caixa descontado (aba DCF)</t>
        </is>
      </c>
      <c r="C17" s="33">
        <f>'DCF'!$D$30</f>
        <v/>
      </c>
      <c r="D17" s="2" t="inlineStr">
        <is>
          <t>Para comparar</t>
        </is>
      </c>
    </row>
    <row r="18">
      <c r="B18" t="inlineStr">
        <is>
          <t>Preço de mercado</t>
        </is>
      </c>
      <c r="C18" s="33">
        <f>D5</f>
        <v/>
      </c>
      <c r="D1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I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70" customWidth="1" min="9" max="9"/>
  </cols>
  <sheetData>
    <row r="1">
      <c r="B1" s="1" t="inlineStr">
        <is>
          <t>Fluxo de caixa descontado - Gerdau</t>
        </is>
      </c>
    </row>
    <row r="2">
      <c r="B2" s="2" t="inlineStr">
        <is>
          <t>O valor da empresa é a soma dos fluxos de caixa futuros trazidos a valor de hoje.</t>
        </is>
      </c>
    </row>
    <row r="4">
      <c r="B4" s="4" t="inlineStr">
        <is>
          <t>R$ milhões</t>
        </is>
      </c>
      <c r="C4" s="5" t="n"/>
      <c r="D4" s="5" t="inlineStr">
        <is>
          <t>2026E</t>
        </is>
      </c>
      <c r="E4" s="5" t="inlineStr">
        <is>
          <t>2027E</t>
        </is>
      </c>
      <c r="F4" s="5" t="inlineStr">
        <is>
          <t>2028E</t>
        </is>
      </c>
      <c r="G4" s="5" t="inlineStr">
        <is>
          <t>2029E</t>
        </is>
      </c>
      <c r="H4" s="5" t="inlineStr">
        <is>
          <t>2030E</t>
        </is>
      </c>
    </row>
    <row r="5">
      <c r="B5" s="26" t="inlineStr">
        <is>
          <t>Fluxo da empresa (FCFF), descontado pelo WACC</t>
        </is>
      </c>
      <c r="C5" s="27" t="n"/>
      <c r="D5" s="27" t="n"/>
      <c r="E5" s="27" t="n"/>
      <c r="F5" s="27" t="n"/>
      <c r="G5" s="27" t="n"/>
      <c r="H5" s="27" t="n"/>
    </row>
    <row r="6">
      <c r="B6" s="8" t="inlineStr">
        <is>
          <t>FCFF</t>
        </is>
      </c>
      <c r="D6" s="31">
        <f>'Projeção'!D31</f>
        <v/>
      </c>
      <c r="E6" s="31">
        <f>'Projeção'!E31</f>
        <v/>
      </c>
      <c r="F6" s="31">
        <f>'Projeção'!F31</f>
        <v/>
      </c>
      <c r="G6" s="31">
        <f>'Projeção'!G31</f>
        <v/>
      </c>
      <c r="H6" s="31">
        <f>'Projeção'!H31</f>
        <v/>
      </c>
    </row>
    <row r="7">
      <c r="B7" s="6" t="inlineStr">
        <is>
          <t>Parte do ano que entra no valor</t>
        </is>
      </c>
      <c r="D7" s="38">
        <f>'Premissas'!$D$43</f>
        <v/>
      </c>
      <c r="E7" s="38" t="n">
        <v>1</v>
      </c>
      <c r="F7" s="38" t="n">
        <v>1</v>
      </c>
      <c r="G7" s="38" t="n">
        <v>1</v>
      </c>
      <c r="H7" s="38" t="n">
        <v>1</v>
      </c>
    </row>
    <row r="8">
      <c r="B8" s="6" t="inlineStr">
        <is>
          <t>Fim do período (anos desde a data-base)</t>
        </is>
      </c>
      <c r="D8" s="38">
        <f>D7</f>
        <v/>
      </c>
      <c r="E8" s="38">
        <f>D8+1</f>
        <v/>
      </c>
      <c r="F8" s="38">
        <f>E8+1</f>
        <v/>
      </c>
      <c r="G8" s="38">
        <f>F8+1</f>
        <v/>
      </c>
      <c r="H8" s="38">
        <f>G8+1</f>
        <v/>
      </c>
    </row>
    <row r="9">
      <c r="B9" s="6" t="inlineStr">
        <is>
          <t>Meio do período (quando o caixa entra, em média)</t>
        </is>
      </c>
      <c r="D9" s="38">
        <f>D8-D7/2</f>
        <v/>
      </c>
      <c r="E9" s="38">
        <f>E8-E7/2</f>
        <v/>
      </c>
      <c r="F9" s="38">
        <f>F8-F7/2</f>
        <v/>
      </c>
      <c r="G9" s="38">
        <f>G8-G7/2</f>
        <v/>
      </c>
      <c r="H9" s="38">
        <f>H8-H7/2</f>
        <v/>
      </c>
    </row>
    <row r="10">
      <c r="B10" s="6" t="inlineStr">
        <is>
          <t>Fator de desconto</t>
        </is>
      </c>
      <c r="D10" s="39">
        <f>1/(1+'WACC'!$D$23)^D9</f>
        <v/>
      </c>
      <c r="E10" s="39">
        <f>1/(1+'WACC'!$D$23)^E9</f>
        <v/>
      </c>
      <c r="F10" s="39">
        <f>1/(1+'WACC'!$D$23)^F9</f>
        <v/>
      </c>
      <c r="G10" s="39">
        <f>1/(1+'WACC'!$D$23)^G9</f>
        <v/>
      </c>
      <c r="H10" s="39">
        <f>1/(1+'WACC'!$D$23)^H9</f>
        <v/>
      </c>
    </row>
    <row r="11">
      <c r="B11" s="8" t="inlineStr">
        <is>
          <t>Valor presente do fluxo</t>
        </is>
      </c>
      <c r="D11" s="31">
        <f>D6*D7*D10</f>
        <v/>
      </c>
      <c r="E11" s="31">
        <f>E6*E7*E10</f>
        <v/>
      </c>
      <c r="F11" s="31">
        <f>F6*F7*F10</f>
        <v/>
      </c>
      <c r="G11" s="31">
        <f>G6*G7*G10</f>
        <v/>
      </c>
      <c r="H11" s="31">
        <f>H6*H7*H10</f>
        <v/>
      </c>
    </row>
    <row r="13">
      <c r="B13" s="26" t="inlineStr">
        <is>
          <t>Perpetuidade (Gordon)</t>
        </is>
      </c>
      <c r="C13" s="27" t="n"/>
      <c r="D13" s="27" t="n"/>
      <c r="E13" s="27" t="n"/>
      <c r="F13" s="27" t="n"/>
      <c r="G13" s="27" t="n"/>
      <c r="H13" s="27" t="n"/>
    </row>
    <row r="14">
      <c r="B14" s="6" t="inlineStr">
        <is>
          <t>WACC</t>
        </is>
      </c>
      <c r="D14" s="11">
        <f>'WACC'!$D$23</f>
        <v/>
      </c>
    </row>
    <row r="15">
      <c r="B15" s="6" t="inlineStr">
        <is>
          <t>Crescimento na perpetuidade (g)</t>
        </is>
      </c>
      <c r="D15" s="11">
        <f>'Premissas'!$D$37</f>
        <v/>
      </c>
    </row>
    <row r="16">
      <c r="B16" s="6" t="inlineStr">
        <is>
          <t>FCFF normalizado de 2030</t>
        </is>
      </c>
      <c r="D16" s="12">
        <f>'Projeção'!H19+'Projeção'!H11-'Premissas'!$D$38*'Projeção'!H11-'Projeção'!H28</f>
        <v/>
      </c>
      <c r="I16" s="2" t="inlineStr">
        <is>
          <t>NOPAT + depreciação - capex de reposição - investimento em giro</t>
        </is>
      </c>
    </row>
    <row r="17">
      <c r="B17" s="6" t="inlineStr">
        <is>
          <t>Valor terminal no fim do último ano</t>
        </is>
      </c>
      <c r="D17" s="12">
        <f>D16*(1+D15)/(D14-D15)</f>
        <v/>
      </c>
      <c r="I17" s="2" t="inlineStr">
        <is>
          <t>FCFF x (1 + g) / (WACC - g)</t>
        </is>
      </c>
    </row>
    <row r="18">
      <c r="B18" s="6" t="inlineStr">
        <is>
          <t>Valor presente do valor terminal</t>
        </is>
      </c>
      <c r="D18" s="12">
        <f>D17/(1+D14)^H8</f>
        <v/>
      </c>
    </row>
    <row r="20">
      <c r="B20" s="26" t="inlineStr">
        <is>
          <t>Do valor da empresa ao preço por ação</t>
        </is>
      </c>
      <c r="C20" s="27" t="n"/>
      <c r="D20" s="27" t="n"/>
      <c r="E20" s="27" t="n"/>
      <c r="F20" s="27" t="n"/>
      <c r="G20" s="27" t="n"/>
      <c r="H20" s="27" t="n"/>
    </row>
    <row r="21">
      <c r="B21" s="6" t="inlineStr">
        <is>
          <t>Valor presente dos fluxos projetados</t>
        </is>
      </c>
      <c r="D21" s="12">
        <f>SUM($D$11:$H$11)</f>
        <v/>
      </c>
    </row>
    <row r="22">
      <c r="B22" s="6" t="inlineStr">
        <is>
          <t>(+) Valor presente do valor terminal</t>
        </is>
      </c>
      <c r="D22" s="12">
        <f>D18</f>
        <v/>
      </c>
    </row>
    <row r="23">
      <c r="B23" s="8" t="inlineStr">
        <is>
          <t>Valor da empresa (Enterprise Value)</t>
        </is>
      </c>
      <c r="D23" s="31">
        <f>D21+D22</f>
        <v/>
      </c>
    </row>
    <row r="24">
      <c r="B24" s="6" t="inlineStr">
        <is>
          <t>(-) Dívida líquida na data-base</t>
        </is>
      </c>
      <c r="D24" s="12">
        <f>'Histórico'!K65</f>
        <v/>
      </c>
    </row>
    <row r="25">
      <c r="B25" s="6" t="inlineStr">
        <is>
          <t>(-) Participação de não controladores</t>
        </is>
      </c>
      <c r="D25" s="12">
        <f>'Histórico'!K40</f>
        <v/>
      </c>
    </row>
    <row r="26">
      <c r="B26" s="6" t="inlineStr">
        <is>
          <t>(+) Investimentos em coligadas (valor contábil)</t>
        </is>
      </c>
      <c r="D26" s="12">
        <f>'Histórico'!K31</f>
        <v/>
      </c>
      <c r="I26" s="2" t="inlineStr">
        <is>
          <t>O FCFF não inclui a equivalência; as coligadas entram pelo valor do balanço.</t>
        </is>
      </c>
    </row>
    <row r="27">
      <c r="B27" s="6" t="inlineStr">
        <is>
          <t>(-) Outros passivos tratados como dívida</t>
        </is>
      </c>
      <c r="D27" s="12">
        <f>'Premissas'!$D$39</f>
        <v/>
      </c>
    </row>
    <row r="28">
      <c r="B28" s="8" t="inlineStr">
        <is>
          <t>Valor do acionista (Equity Value)</t>
        </is>
      </c>
      <c r="D28" s="31">
        <f>D23-D24-D25+D26-D27</f>
        <v/>
      </c>
    </row>
    <row r="29">
      <c r="B29" s="6" t="inlineStr">
        <is>
          <t>Ações em circulação (milhões)</t>
        </is>
      </c>
      <c r="D29" s="40">
        <f>'Premissas'!$D$44</f>
        <v/>
      </c>
    </row>
    <row r="30">
      <c r="B30" s="8" t="inlineStr">
        <is>
          <t>Preço justo por ação</t>
        </is>
      </c>
      <c r="D30" s="9">
        <f>D28/D29</f>
        <v/>
      </c>
    </row>
    <row r="31">
      <c r="B31" s="6" t="inlineStr">
        <is>
          <t>Preço de mercado</t>
        </is>
      </c>
      <c r="D31" s="10">
        <f>'Premissas'!$D$45</f>
        <v/>
      </c>
    </row>
    <row r="32">
      <c r="B32" s="6" t="inlineStr">
        <is>
          <t>Diferença para o preço de mercado</t>
        </is>
      </c>
      <c r="D32" s="11">
        <f>D30/D31-1</f>
        <v/>
      </c>
    </row>
    <row r="33">
      <c r="B33" s="6" t="inlineStr">
        <is>
          <t>Peso do valor terminal no valor da empresa</t>
        </is>
      </c>
      <c r="D33" s="11">
        <f>D18/D23</f>
        <v/>
      </c>
    </row>
    <row r="34">
      <c r="B34" s="6" t="inlineStr">
        <is>
          <t>EV / EBITDA 2026E implícito</t>
        </is>
      </c>
      <c r="D34" s="29">
        <f>D23/'Projeção'!D10</f>
        <v/>
      </c>
    </row>
    <row r="36">
      <c r="B36" s="26" t="inlineStr">
        <is>
          <t>Conferência pelo fluxo do acionista (FCFE), descontado pelo Ke</t>
        </is>
      </c>
      <c r="C36" s="27" t="n"/>
      <c r="D36" s="27" t="n"/>
      <c r="E36" s="27" t="n"/>
      <c r="F36" s="27" t="n"/>
      <c r="G36" s="27" t="n"/>
      <c r="H36" s="27" t="n"/>
    </row>
    <row r="37">
      <c r="B37" s="8" t="inlineStr">
        <is>
          <t>FCFE</t>
        </is>
      </c>
      <c r="D37" s="31">
        <f>'Projeção'!D33</f>
        <v/>
      </c>
      <c r="E37" s="31">
        <f>'Projeção'!E33</f>
        <v/>
      </c>
      <c r="F37" s="31">
        <f>'Projeção'!F33</f>
        <v/>
      </c>
      <c r="G37" s="31">
        <f>'Projeção'!G33</f>
        <v/>
      </c>
      <c r="H37" s="31">
        <f>'Projeção'!H33</f>
        <v/>
      </c>
    </row>
    <row r="38">
      <c r="B38" s="6" t="inlineStr">
        <is>
          <t>Fator de desconto</t>
        </is>
      </c>
      <c r="D38" s="39">
        <f>1/(1+'WACC'!$D$24)^D9</f>
        <v/>
      </c>
      <c r="E38" s="39">
        <f>1/(1+'WACC'!$D$24)^E9</f>
        <v/>
      </c>
      <c r="F38" s="39">
        <f>1/(1+'WACC'!$D$24)^F9</f>
        <v/>
      </c>
      <c r="G38" s="39">
        <f>1/(1+'WACC'!$D$24)^G9</f>
        <v/>
      </c>
      <c r="H38" s="39">
        <f>1/(1+'WACC'!$D$24)^H9</f>
        <v/>
      </c>
    </row>
    <row r="39">
      <c r="B39" s="6" t="inlineStr">
        <is>
          <t>Valor presente do fluxo</t>
        </is>
      </c>
      <c r="D39" s="12">
        <f>D37*D7*D38</f>
        <v/>
      </c>
      <c r="E39" s="12">
        <f>E37*E7*E38</f>
        <v/>
      </c>
      <c r="F39" s="12">
        <f>F37*F7*F38</f>
        <v/>
      </c>
      <c r="G39" s="12">
        <f>G37*G7*G38</f>
        <v/>
      </c>
      <c r="H39" s="12">
        <f>H37*H7*H38</f>
        <v/>
      </c>
    </row>
    <row r="40">
      <c r="B40" s="6" t="inlineStr">
        <is>
          <t>Custo do capital próprio (Ke)</t>
        </is>
      </c>
      <c r="D40" s="11">
        <f>'WACC'!$D$24</f>
        <v/>
      </c>
    </row>
    <row r="41">
      <c r="B41" s="6" t="inlineStr">
        <is>
          <t>FCFE normalizado de 2030</t>
        </is>
      </c>
      <c r="D41" s="12">
        <f>'Projeção'!H18-'Projeção'!H9+'Projeção'!H11-'Premissas'!$D$38*'Projeção'!H11-'Projeção'!H28+'Projeção'!H32</f>
        <v/>
      </c>
    </row>
    <row r="42">
      <c r="B42" s="6" t="inlineStr">
        <is>
          <t>Valor presente do valor terminal</t>
        </is>
      </c>
      <c r="D42" s="12">
        <f>D41*(1+D15)/(D40-D15)/(1+D40)^H8</f>
        <v/>
      </c>
    </row>
    <row r="43">
      <c r="B43" s="8" t="inlineStr">
        <is>
          <t>Valor do acionista pelo FCFE</t>
        </is>
      </c>
      <c r="D43" s="31">
        <f>SUM($D$39:$H$39)+D42-D25+D26-D27</f>
        <v/>
      </c>
    </row>
    <row r="44">
      <c r="B44" s="6" t="inlineStr">
        <is>
          <t>Preço por ação pelo FCFE</t>
        </is>
      </c>
      <c r="D44" s="10">
        <f>D43/D29</f>
        <v/>
      </c>
    </row>
    <row r="46">
      <c r="B46" s="26" t="inlineStr">
        <is>
          <t>Sensibilidade do preço justo: WACC (linhas) x crescimento perpétuo (colunas)</t>
        </is>
      </c>
      <c r="C46" s="27" t="n"/>
      <c r="D46" s="27" t="n"/>
      <c r="E46" s="27" t="n"/>
      <c r="F46" s="27" t="n"/>
      <c r="G46" s="27" t="n"/>
      <c r="H46" s="27" t="n"/>
    </row>
    <row r="47">
      <c r="C47" s="37" t="inlineStr">
        <is>
          <t>WACC \ g</t>
        </is>
      </c>
      <c r="D47" s="41">
        <f>$D$15+-2*0.005</f>
        <v/>
      </c>
      <c r="E47" s="41">
        <f>$D$15+-1*0.005</f>
        <v/>
      </c>
      <c r="F47" s="41">
        <f>$D$15+0*0.005</f>
        <v/>
      </c>
      <c r="G47" s="41">
        <f>$D$15+1*0.005</f>
        <v/>
      </c>
      <c r="H47" s="41">
        <f>$D$15+2*0.005</f>
        <v/>
      </c>
    </row>
    <row r="48">
      <c r="C48" s="41">
        <f>$D$14+-2*0.01</f>
        <v/>
      </c>
      <c r="D48" s="10">
        <f>(SUMPRODUCT($D$6:$H$6*$D$7:$H$7/(1+$C48)^$D$9:$H$9)+$D$16*(1+D$47)/($C48-D$47)/(1+$C48)^$H$8-$D$24-$D$25+$D$26-$D$27)/$D$29</f>
        <v/>
      </c>
      <c r="E48" s="10">
        <f>(SUMPRODUCT($D$6:$H$6*$D$7:$H$7/(1+$C48)^$D$9:$H$9)+$D$16*(1+E$47)/($C48-E$47)/(1+$C48)^$H$8-$D$24-$D$25+$D$26-$D$27)/$D$29</f>
        <v/>
      </c>
      <c r="F48" s="10">
        <f>(SUMPRODUCT($D$6:$H$6*$D$7:$H$7/(1+$C48)^$D$9:$H$9)+$D$16*(1+F$47)/($C48-F$47)/(1+$C48)^$H$8-$D$24-$D$25+$D$26-$D$27)/$D$29</f>
        <v/>
      </c>
      <c r="G48" s="10">
        <f>(SUMPRODUCT($D$6:$H$6*$D$7:$H$7/(1+$C48)^$D$9:$H$9)+$D$16*(1+G$47)/($C48-G$47)/(1+$C48)^$H$8-$D$24-$D$25+$D$26-$D$27)/$D$29</f>
        <v/>
      </c>
      <c r="H48" s="10">
        <f>(SUMPRODUCT($D$6:$H$6*$D$7:$H$7/(1+$C48)^$D$9:$H$9)+$D$16*(1+H$47)/($C48-H$47)/(1+$C48)^$H$8-$D$24-$D$25+$D$26-$D$27)/$D$29</f>
        <v/>
      </c>
    </row>
    <row r="49">
      <c r="C49" s="41">
        <f>$D$14+-1*0.01</f>
        <v/>
      </c>
      <c r="D49" s="10">
        <f>(SUMPRODUCT($D$6:$H$6*$D$7:$H$7/(1+$C49)^$D$9:$H$9)+$D$16*(1+D$47)/($C49-D$47)/(1+$C49)^$H$8-$D$24-$D$25+$D$26-$D$27)/$D$29</f>
        <v/>
      </c>
      <c r="E49" s="10">
        <f>(SUMPRODUCT($D$6:$H$6*$D$7:$H$7/(1+$C49)^$D$9:$H$9)+$D$16*(1+E$47)/($C49-E$47)/(1+$C49)^$H$8-$D$24-$D$25+$D$26-$D$27)/$D$29</f>
        <v/>
      </c>
      <c r="F49" s="10">
        <f>(SUMPRODUCT($D$6:$H$6*$D$7:$H$7/(1+$C49)^$D$9:$H$9)+$D$16*(1+F$47)/($C49-F$47)/(1+$C49)^$H$8-$D$24-$D$25+$D$26-$D$27)/$D$29</f>
        <v/>
      </c>
      <c r="G49" s="10">
        <f>(SUMPRODUCT($D$6:$H$6*$D$7:$H$7/(1+$C49)^$D$9:$H$9)+$D$16*(1+G$47)/($C49-G$47)/(1+$C49)^$H$8-$D$24-$D$25+$D$26-$D$27)/$D$29</f>
        <v/>
      </c>
      <c r="H49" s="10">
        <f>(SUMPRODUCT($D$6:$H$6*$D$7:$H$7/(1+$C49)^$D$9:$H$9)+$D$16*(1+H$47)/($C49-H$47)/(1+$C49)^$H$8-$D$24-$D$25+$D$26-$D$27)/$D$29</f>
        <v/>
      </c>
    </row>
    <row r="50">
      <c r="C50" s="41">
        <f>$D$14+0*0.01</f>
        <v/>
      </c>
      <c r="D50" s="10">
        <f>(SUMPRODUCT($D$6:$H$6*$D$7:$H$7/(1+$C50)^$D$9:$H$9)+$D$16*(1+D$47)/($C50-D$47)/(1+$C50)^$H$8-$D$24-$D$25+$D$26-$D$27)/$D$29</f>
        <v/>
      </c>
      <c r="E50" s="10">
        <f>(SUMPRODUCT($D$6:$H$6*$D$7:$H$7/(1+$C50)^$D$9:$H$9)+$D$16*(1+E$47)/($C50-E$47)/(1+$C50)^$H$8-$D$24-$D$25+$D$26-$D$27)/$D$29</f>
        <v/>
      </c>
      <c r="F50" s="9">
        <f>(SUMPRODUCT($D$6:$H$6*$D$7:$H$7/(1+$C50)^$D$9:$H$9)+$D$16*(1+F$47)/($C50-F$47)/(1+$C50)^$H$8-$D$24-$D$25+$D$26-$D$27)/$D$29</f>
        <v/>
      </c>
      <c r="G50" s="10">
        <f>(SUMPRODUCT($D$6:$H$6*$D$7:$H$7/(1+$C50)^$D$9:$H$9)+$D$16*(1+G$47)/($C50-G$47)/(1+$C50)^$H$8-$D$24-$D$25+$D$26-$D$27)/$D$29</f>
        <v/>
      </c>
      <c r="H50" s="10">
        <f>(SUMPRODUCT($D$6:$H$6*$D$7:$H$7/(1+$C50)^$D$9:$H$9)+$D$16*(1+H$47)/($C50-H$47)/(1+$C50)^$H$8-$D$24-$D$25+$D$26-$D$27)/$D$29</f>
        <v/>
      </c>
    </row>
    <row r="51">
      <c r="C51" s="41">
        <f>$D$14+1*0.01</f>
        <v/>
      </c>
      <c r="D51" s="10">
        <f>(SUMPRODUCT($D$6:$H$6*$D$7:$H$7/(1+$C51)^$D$9:$H$9)+$D$16*(1+D$47)/($C51-D$47)/(1+$C51)^$H$8-$D$24-$D$25+$D$26-$D$27)/$D$29</f>
        <v/>
      </c>
      <c r="E51" s="10">
        <f>(SUMPRODUCT($D$6:$H$6*$D$7:$H$7/(1+$C51)^$D$9:$H$9)+$D$16*(1+E$47)/($C51-E$47)/(1+$C51)^$H$8-$D$24-$D$25+$D$26-$D$27)/$D$29</f>
        <v/>
      </c>
      <c r="F51" s="10">
        <f>(SUMPRODUCT($D$6:$H$6*$D$7:$H$7/(1+$C51)^$D$9:$H$9)+$D$16*(1+F$47)/($C51-F$47)/(1+$C51)^$H$8-$D$24-$D$25+$D$26-$D$27)/$D$29</f>
        <v/>
      </c>
      <c r="G51" s="10">
        <f>(SUMPRODUCT($D$6:$H$6*$D$7:$H$7/(1+$C51)^$D$9:$H$9)+$D$16*(1+G$47)/($C51-G$47)/(1+$C51)^$H$8-$D$24-$D$25+$D$26-$D$27)/$D$29</f>
        <v/>
      </c>
      <c r="H51" s="10">
        <f>(SUMPRODUCT($D$6:$H$6*$D$7:$H$7/(1+$C51)^$D$9:$H$9)+$D$16*(1+H$47)/($C51-H$47)/(1+$C51)^$H$8-$D$24-$D$25+$D$26-$D$27)/$D$29</f>
        <v/>
      </c>
    </row>
    <row r="52">
      <c r="C52" s="41">
        <f>$D$14+2*0.01</f>
        <v/>
      </c>
      <c r="D52" s="10">
        <f>(SUMPRODUCT($D$6:$H$6*$D$7:$H$7/(1+$C52)^$D$9:$H$9)+$D$16*(1+D$47)/($C52-D$47)/(1+$C52)^$H$8-$D$24-$D$25+$D$26-$D$27)/$D$29</f>
        <v/>
      </c>
      <c r="E52" s="10">
        <f>(SUMPRODUCT($D$6:$H$6*$D$7:$H$7/(1+$C52)^$D$9:$H$9)+$D$16*(1+E$47)/($C52-E$47)/(1+$C52)^$H$8-$D$24-$D$25+$D$26-$D$27)/$D$29</f>
        <v/>
      </c>
      <c r="F52" s="10">
        <f>(SUMPRODUCT($D$6:$H$6*$D$7:$H$7/(1+$C52)^$D$9:$H$9)+$D$16*(1+F$47)/($C52-F$47)/(1+$C52)^$H$8-$D$24-$D$25+$D$26-$D$27)/$D$29</f>
        <v/>
      </c>
      <c r="G52" s="10">
        <f>(SUMPRODUCT($D$6:$H$6*$D$7:$H$7/(1+$C52)^$D$9:$H$9)+$D$16*(1+G$47)/($C52-G$47)/(1+$C52)^$H$8-$D$24-$D$25+$D$26-$D$27)/$D$29</f>
        <v/>
      </c>
      <c r="H52" s="10">
        <f>(SUMPRODUCT($D$6:$H$6*$D$7:$H$7/(1+$C52)^$D$9:$H$9)+$D$16*(1+H$47)/($C52-H$47)/(1+$C52)^$H$8-$D$24-$D$25+$D$26-$D$27)/$D$29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4" customWidth="1" min="3" max="3"/>
    <col width="14" customWidth="1" min="4" max="4"/>
    <col width="70" customWidth="1" min="5" max="5"/>
  </cols>
  <sheetData>
    <row r="1">
      <c r="B1" s="1" t="inlineStr">
        <is>
          <t>Custo de capital</t>
        </is>
      </c>
    </row>
    <row r="2">
      <c r="B2" s="2" t="inlineStr">
        <is>
          <t>CAPM para o capital próprio; WACC é a média com o custo da dívida depois do imposto.</t>
        </is>
      </c>
    </row>
    <row r="4">
      <c r="B4" s="4" t="inlineStr">
        <is>
          <t>Capital próprio (CAPM)</t>
        </is>
      </c>
      <c r="C4" s="5" t="n"/>
      <c r="D4" s="5" t="inlineStr">
        <is>
          <t>Valor</t>
        </is>
      </c>
      <c r="E4" s="5" t="inlineStr">
        <is>
          <t>Conta</t>
        </is>
      </c>
    </row>
    <row r="5">
      <c r="B5" s="6" t="inlineStr">
        <is>
          <t>Juro sem risco (Rf)</t>
        </is>
      </c>
      <c r="D5" s="11">
        <f>'Premissas'!$D$32</f>
        <v/>
      </c>
    </row>
    <row r="6">
      <c r="B6" s="6" t="inlineStr">
        <is>
          <t>Beta</t>
        </is>
      </c>
      <c r="D6" s="30">
        <f>'Premissas'!$D$33</f>
        <v/>
      </c>
    </row>
    <row r="7">
      <c r="B7" s="6" t="inlineStr">
        <is>
          <t>Prêmio de risco de mercado</t>
        </is>
      </c>
      <c r="D7" s="11">
        <f>'Premissas'!$D$34</f>
        <v/>
      </c>
    </row>
    <row r="8">
      <c r="B8" s="6" t="inlineStr">
        <is>
          <t>Prêmio adicional</t>
        </is>
      </c>
      <c r="D8" s="11">
        <f>'Premissas'!$D$35</f>
        <v/>
      </c>
    </row>
    <row r="9">
      <c r="B9" s="8" t="inlineStr">
        <is>
          <t>Custo do capital próprio (Ke)</t>
        </is>
      </c>
      <c r="D9" s="42">
        <f>D5+D6*D7+D8</f>
        <v/>
      </c>
      <c r="E9" s="2" t="inlineStr">
        <is>
          <t>Ke = Rf + beta x prêmio de mercado + prêmio adicional</t>
        </is>
      </c>
    </row>
    <row r="11">
      <c r="B11" s="4" t="inlineStr">
        <is>
          <t>Dívida</t>
        </is>
      </c>
      <c r="C11" s="5" t="n"/>
      <c r="D11" s="5" t="inlineStr">
        <is>
          <t>Valor</t>
        </is>
      </c>
      <c r="E11" s="5" t="inlineStr">
        <is>
          <t>Conta</t>
        </is>
      </c>
    </row>
    <row r="12">
      <c r="B12" s="6" t="inlineStr">
        <is>
          <t>Custo da dívida antes do imposto (Kd)</t>
        </is>
      </c>
      <c r="D12" s="11">
        <f>'Premissas'!$D$29</f>
        <v/>
      </c>
    </row>
    <row r="13">
      <c r="B13" s="6" t="inlineStr">
        <is>
          <t>Alíquota de IR e CSLL</t>
        </is>
      </c>
      <c r="D13" s="11">
        <f>'Premissas'!$D$28</f>
        <v/>
      </c>
    </row>
    <row r="14">
      <c r="B14" s="8" t="inlineStr">
        <is>
          <t>Custo da dívida após o imposto</t>
        </is>
      </c>
      <c r="D14" s="42">
        <f>D12*(1-D13)</f>
        <v/>
      </c>
      <c r="E14" s="2" t="inlineStr">
        <is>
          <t>Juro é dedutível: Kd x (1 - alíquota)</t>
        </is>
      </c>
    </row>
    <row r="16">
      <c r="B16" s="4" t="inlineStr">
        <is>
          <t>Média ponderada</t>
        </is>
      </c>
      <c r="C16" s="5" t="n"/>
      <c r="D16" s="5" t="inlineStr">
        <is>
          <t>Valor</t>
        </is>
      </c>
      <c r="E16" s="5" t="inlineStr">
        <is>
          <t>Conta</t>
        </is>
      </c>
    </row>
    <row r="17">
      <c r="B17" s="6" t="inlineStr">
        <is>
          <t>Peso da dívida</t>
        </is>
      </c>
      <c r="D17" s="11">
        <f>'Premissas'!$D$36</f>
        <v/>
      </c>
    </row>
    <row r="18">
      <c r="B18" s="6" t="inlineStr">
        <is>
          <t>Peso do capital próprio</t>
        </is>
      </c>
      <c r="D18" s="11">
        <f>1-D17</f>
        <v/>
      </c>
    </row>
    <row r="19">
      <c r="B19" s="8" t="inlineStr">
        <is>
          <t>WACC pelo CAPM</t>
        </is>
      </c>
      <c r="D19" s="42">
        <f>D9*D18+D14*D17</f>
        <v/>
      </c>
      <c r="E19" s="2" t="inlineStr">
        <is>
          <t>WACC = Ke x peso do capital próprio + Kd após imposto x peso da dívida</t>
        </is>
      </c>
    </row>
    <row r="21">
      <c r="B21" s="4" t="inlineStr">
        <is>
          <t>Cenário</t>
        </is>
      </c>
      <c r="C21" s="5" t="n"/>
      <c r="D21" s="5" t="inlineStr">
        <is>
          <t>Valor</t>
        </is>
      </c>
      <c r="E21" s="5" t="inlineStr">
        <is>
          <t>Conta</t>
        </is>
      </c>
    </row>
    <row r="22">
      <c r="B22" s="6" t="inlineStr">
        <is>
          <t>Ajuste do cenário (pontos sobre o CAPM)</t>
        </is>
      </c>
      <c r="D22" s="43">
        <f>'Premissas'!$C$10</f>
        <v/>
      </c>
      <c r="E22" s="2" t="inlineStr">
        <is>
          <t>Da aba Premissas: zero no moderado, positivo no pessimista, negativo no otimista.</t>
        </is>
      </c>
    </row>
    <row r="23">
      <c r="B23" s="8" t="inlineStr">
        <is>
          <t>WACC em uso</t>
        </is>
      </c>
      <c r="D23" s="14">
        <f>D19+D22</f>
        <v/>
      </c>
      <c r="E23" s="2" t="inlineStr">
        <is>
          <t>É a taxa que desconta o fluxo da empresa (FCFF) na aba DCF.</t>
        </is>
      </c>
    </row>
    <row r="24">
      <c r="B24" s="6" t="inlineStr">
        <is>
          <t>Ke em uso</t>
        </is>
      </c>
      <c r="D24" s="11">
        <f>D9+D22</f>
        <v/>
      </c>
      <c r="E24" s="2" t="inlineStr">
        <is>
          <t>O mesmo ajuste no custo do capital próprio, que desconta o FCFE.</t>
        </is>
      </c>
    </row>
    <row r="26">
      <c r="B26" s="4" t="inlineStr">
        <is>
          <t>Referência: estrutura a valor de mercado</t>
        </is>
      </c>
      <c r="C26" s="5" t="n"/>
      <c r="D26" s="5" t="inlineStr">
        <is>
          <t>Valor</t>
        </is>
      </c>
      <c r="E26" s="5" t="inlineStr">
        <is>
          <t>Conta</t>
        </is>
      </c>
    </row>
    <row r="27">
      <c r="B27" s="6" t="inlineStr">
        <is>
          <t>Valor de mercado (R$ milhões)</t>
        </is>
      </c>
      <c r="D27" s="12">
        <f>'Premissas'!$D$46</f>
        <v/>
      </c>
    </row>
    <row r="28">
      <c r="B28" s="6" t="inlineStr">
        <is>
          <t>Dívida bruta na data-base (R$ milhões)</t>
        </is>
      </c>
      <c r="D28" s="12">
        <f>'Histórico'!K64</f>
        <v/>
      </c>
    </row>
    <row r="29">
      <c r="B29" s="6" t="inlineStr">
        <is>
          <t>Peso da dívida a valor de mercado</t>
        </is>
      </c>
      <c r="D29" s="11">
        <f>D28/(D28+D27)</f>
        <v/>
      </c>
      <c r="E29" s="2" t="inlineStr">
        <is>
          <t>Compare com o peso usado acima.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9" max="9"/>
  </cols>
  <sheetData>
    <row r="1">
      <c r="B1" s="1" t="inlineStr">
        <is>
          <t>Cenários e movimento do caixa</t>
        </is>
      </c>
    </row>
    <row r="2">
      <c r="B2" s="2" t="inlineStr">
        <is>
          <t>Troque o cenário na aba Premissas (célula D4) ou ajuste uma variável à mão: tudo abaixo e o resto da planilha seguem.</t>
        </is>
      </c>
    </row>
    <row r="4">
      <c r="B4" s="8" t="inlineStr">
        <is>
          <t>Cenário em uso</t>
        </is>
      </c>
      <c r="D4" s="8">
        <f>'Premissas'!D4</f>
        <v/>
      </c>
    </row>
    <row r="6">
      <c r="B6" s="4" t="inlineStr">
        <is>
          <t>Entradas e saídas de caixa</t>
        </is>
      </c>
      <c r="C6" s="5" t="n"/>
      <c r="D6" s="5" t="inlineStr">
        <is>
          <t>2026E</t>
        </is>
      </c>
      <c r="E6" s="5" t="inlineStr">
        <is>
          <t>2027E</t>
        </is>
      </c>
      <c r="F6" s="5" t="inlineStr">
        <is>
          <t>2028E</t>
        </is>
      </c>
      <c r="G6" s="5" t="inlineStr">
        <is>
          <t>2029E</t>
        </is>
      </c>
      <c r="H6" s="5" t="inlineStr">
        <is>
          <t>2030E</t>
        </is>
      </c>
    </row>
    <row r="7">
      <c r="B7" s="26" t="inlineStr">
        <is>
          <t>Entradas (cash in)</t>
        </is>
      </c>
      <c r="C7" s="27" t="n"/>
      <c r="D7" s="27" t="n"/>
      <c r="E7" s="27" t="n"/>
      <c r="F7" s="27" t="n"/>
      <c r="G7" s="27" t="n"/>
      <c r="H7" s="27" t="n"/>
    </row>
    <row r="8">
      <c r="B8" s="6" t="inlineStr">
        <is>
          <t>Caixa gerado pela operação (EBITDA sem equivalência)</t>
        </is>
      </c>
      <c r="D8" s="12">
        <f>'Projeção'!D10-'Projeção'!D9</f>
        <v/>
      </c>
      <c r="E8" s="12">
        <f>'Projeção'!E10-'Projeção'!E9</f>
        <v/>
      </c>
      <c r="F8" s="12">
        <f>'Projeção'!F10-'Projeção'!F9</f>
        <v/>
      </c>
      <c r="G8" s="12">
        <f>'Projeção'!G10-'Projeção'!G9</f>
        <v/>
      </c>
      <c r="H8" s="12">
        <f>'Projeção'!H10-'Projeção'!H9</f>
        <v/>
      </c>
    </row>
    <row r="9">
      <c r="B9" s="6" t="inlineStr">
        <is>
          <t>Rendimento do caixa</t>
        </is>
      </c>
      <c r="D9" s="12">
        <f>'Projeção'!C38*'Premissas'!$D$30</f>
        <v/>
      </c>
      <c r="E9" s="12">
        <f>'Projeção'!D38*'Premissas'!$D$30</f>
        <v/>
      </c>
      <c r="F9" s="12">
        <f>'Projeção'!E38*'Premissas'!$D$30</f>
        <v/>
      </c>
      <c r="G9" s="12">
        <f>'Projeção'!F38*'Premissas'!$D$30</f>
        <v/>
      </c>
      <c r="H9" s="12">
        <f>'Projeção'!G38*'Premissas'!$D$30</f>
        <v/>
      </c>
    </row>
    <row r="10">
      <c r="B10" s="6" t="inlineStr">
        <is>
          <t>Captação líquida de dívida (se positiva)</t>
        </is>
      </c>
      <c r="D10" s="12">
        <f>MAX(0,'Projeção'!D32)</f>
        <v/>
      </c>
      <c r="E10" s="12">
        <f>MAX(0,'Projeção'!E32)</f>
        <v/>
      </c>
      <c r="F10" s="12">
        <f>MAX(0,'Projeção'!F32)</f>
        <v/>
      </c>
      <c r="G10" s="12">
        <f>MAX(0,'Projeção'!G32)</f>
        <v/>
      </c>
      <c r="H10" s="12">
        <f>MAX(0,'Projeção'!H32)</f>
        <v/>
      </c>
    </row>
    <row r="11">
      <c r="B11" s="8" t="inlineStr">
        <is>
          <t>Total de entradas</t>
        </is>
      </c>
      <c r="D11" s="31">
        <f>D8+D9+D10</f>
        <v/>
      </c>
      <c r="E11" s="31">
        <f>E8+E9+E10</f>
        <v/>
      </c>
      <c r="F11" s="31">
        <f>F8+F9+F10</f>
        <v/>
      </c>
      <c r="G11" s="31">
        <f>G8+G9+G10</f>
        <v/>
      </c>
      <c r="H11" s="31">
        <f>H8+H9+H10</f>
        <v/>
      </c>
    </row>
    <row r="12">
      <c r="B12" s="26" t="inlineStr">
        <is>
          <t>Saídas (cash out)</t>
        </is>
      </c>
      <c r="C12" s="27" t="n"/>
      <c r="D12" s="27" t="n"/>
      <c r="E12" s="27" t="n"/>
      <c r="F12" s="27" t="n"/>
      <c r="G12" s="27" t="n"/>
      <c r="H12" s="27" t="n"/>
    </row>
    <row r="13">
      <c r="B13" s="6" t="inlineStr">
        <is>
          <t>Imposto de renda e CSLL</t>
        </is>
      </c>
      <c r="D13" s="12">
        <f>'Projeção'!D17</f>
        <v/>
      </c>
      <c r="E13" s="12">
        <f>'Projeção'!E17</f>
        <v/>
      </c>
      <c r="F13" s="12">
        <f>'Projeção'!F17</f>
        <v/>
      </c>
      <c r="G13" s="12">
        <f>'Projeção'!G17</f>
        <v/>
      </c>
      <c r="H13" s="12">
        <f>'Projeção'!H17</f>
        <v/>
      </c>
    </row>
    <row r="14">
      <c r="B14" s="6" t="inlineStr">
        <is>
          <t>Capex</t>
        </is>
      </c>
      <c r="D14" s="12">
        <f>'Projeção'!D22</f>
        <v/>
      </c>
      <c r="E14" s="12">
        <f>'Projeção'!E22</f>
        <v/>
      </c>
      <c r="F14" s="12">
        <f>'Projeção'!F22</f>
        <v/>
      </c>
      <c r="G14" s="12">
        <f>'Projeção'!G22</f>
        <v/>
      </c>
      <c r="H14" s="12">
        <f>'Projeção'!H22</f>
        <v/>
      </c>
    </row>
    <row r="15">
      <c r="B15" s="6" t="inlineStr">
        <is>
          <t>Investimento em capital de giro</t>
        </is>
      </c>
      <c r="D15" s="12">
        <f>'Projeção'!D28</f>
        <v/>
      </c>
      <c r="E15" s="12">
        <f>'Projeção'!E28</f>
        <v/>
      </c>
      <c r="F15" s="12">
        <f>'Projeção'!F28</f>
        <v/>
      </c>
      <c r="G15" s="12">
        <f>'Projeção'!G28</f>
        <v/>
      </c>
      <c r="H15" s="12">
        <f>'Projeção'!H28</f>
        <v/>
      </c>
    </row>
    <row r="16">
      <c r="B16" s="6" t="inlineStr">
        <is>
          <t>Juros da dívida</t>
        </is>
      </c>
      <c r="D16" s="12">
        <f>'Projeção'!C42*'Premissas'!$D$29</f>
        <v/>
      </c>
      <c r="E16" s="12">
        <f>'Projeção'!D42*'Premissas'!$D$29</f>
        <v/>
      </c>
      <c r="F16" s="12">
        <f>'Projeção'!E42*'Premissas'!$D$29</f>
        <v/>
      </c>
      <c r="G16" s="12">
        <f>'Projeção'!F42*'Premissas'!$D$29</f>
        <v/>
      </c>
      <c r="H16" s="12">
        <f>'Projeção'!G42*'Premissas'!$D$29</f>
        <v/>
      </c>
    </row>
    <row r="17">
      <c r="B17" s="6" t="inlineStr">
        <is>
          <t>Amortização líquida de dívida (se negativa a captação)</t>
        </is>
      </c>
      <c r="D17" s="12">
        <f>MAX(0,-'Projeção'!D32)</f>
        <v/>
      </c>
      <c r="E17" s="12">
        <f>MAX(0,-'Projeção'!E32)</f>
        <v/>
      </c>
      <c r="F17" s="12">
        <f>MAX(0,-'Projeção'!F32)</f>
        <v/>
      </c>
      <c r="G17" s="12">
        <f>MAX(0,-'Projeção'!G32)</f>
        <v/>
      </c>
      <c r="H17" s="12">
        <f>MAX(0,-'Projeção'!H32)</f>
        <v/>
      </c>
    </row>
    <row r="18">
      <c r="B18" s="6" t="inlineStr">
        <is>
          <t>Dividendos</t>
        </is>
      </c>
      <c r="D18" s="12">
        <f>'Projeção'!D34</f>
        <v/>
      </c>
      <c r="E18" s="12">
        <f>'Projeção'!E34</f>
        <v/>
      </c>
      <c r="F18" s="12">
        <f>'Projeção'!F34</f>
        <v/>
      </c>
      <c r="G18" s="12">
        <f>'Projeção'!G34</f>
        <v/>
      </c>
      <c r="H18" s="12">
        <f>'Projeção'!H34</f>
        <v/>
      </c>
    </row>
    <row r="19">
      <c r="B19" s="8" t="inlineStr">
        <is>
          <t>Total de saídas</t>
        </is>
      </c>
      <c r="D19" s="31">
        <f>SUM(D13:D18)</f>
        <v/>
      </c>
      <c r="E19" s="31">
        <f>SUM(E13:E18)</f>
        <v/>
      </c>
      <c r="F19" s="31">
        <f>SUM(F13:F18)</f>
        <v/>
      </c>
      <c r="G19" s="31">
        <f>SUM(G13:G18)</f>
        <v/>
      </c>
      <c r="H19" s="31">
        <f>SUM(H13:H18)</f>
        <v/>
      </c>
    </row>
    <row r="20">
      <c r="B20" s="26" t="inlineStr">
        <is>
          <t>Saldo</t>
        </is>
      </c>
      <c r="C20" s="27" t="n"/>
      <c r="D20" s="27" t="n"/>
      <c r="E20" s="27" t="n"/>
      <c r="F20" s="27" t="n"/>
      <c r="G20" s="27" t="n"/>
      <c r="H20" s="27" t="n"/>
    </row>
    <row r="21">
      <c r="B21" s="8" t="inlineStr">
        <is>
          <t>Entradas - saídas</t>
        </is>
      </c>
      <c r="D21" s="31">
        <f>D11-D19</f>
        <v/>
      </c>
      <c r="E21" s="31">
        <f>E11-E19</f>
        <v/>
      </c>
      <c r="F21" s="31">
        <f>F11-F19</f>
        <v/>
      </c>
      <c r="G21" s="31">
        <f>G11-G19</f>
        <v/>
      </c>
      <c r="H21" s="31">
        <f>H11-H19</f>
        <v/>
      </c>
    </row>
    <row r="22">
      <c r="B22" s="6" t="inlineStr">
        <is>
          <t>Caixa no fim do ano</t>
        </is>
      </c>
      <c r="D22" s="12">
        <f>'Projeção'!D38</f>
        <v/>
      </c>
      <c r="E22" s="12">
        <f>'Projeção'!E38</f>
        <v/>
      </c>
      <c r="F22" s="12">
        <f>'Projeção'!F38</f>
        <v/>
      </c>
      <c r="G22" s="12">
        <f>'Projeção'!G38</f>
        <v/>
      </c>
      <c r="H22" s="12">
        <f>'Projeção'!H38</f>
        <v/>
      </c>
    </row>
    <row r="23">
      <c r="B23" s="6" t="inlineStr">
        <is>
          <t>Checagem: bate com a variação de caixa da projeção (zero)</t>
        </is>
      </c>
      <c r="D23" s="12">
        <f>ROUND(D21-'Projeção'!D35,3)</f>
        <v/>
      </c>
      <c r="E23" s="12">
        <f>ROUND(E21-'Projeção'!E35,3)</f>
        <v/>
      </c>
      <c r="F23" s="12">
        <f>ROUND(F21-'Projeção'!F35,3)</f>
        <v/>
      </c>
      <c r="G23" s="12">
        <f>ROUND(G21-'Projeção'!G35,3)</f>
        <v/>
      </c>
      <c r="H23" s="12">
        <f>ROUND(H21-'Projeção'!H35,3)</f>
        <v/>
      </c>
    </row>
    <row r="26">
      <c r="B26" s="37" t="inlineStr">
        <is>
          <t>Comparativo dos cenários (calculado pelo modelo)</t>
        </is>
      </c>
      <c r="C26" s="37" t="inlineStr"/>
      <c r="D26" s="37" t="inlineStr">
        <is>
          <t>Pessimista</t>
        </is>
      </c>
      <c r="E26" s="37" t="inlineStr">
        <is>
          <t>Moderado</t>
        </is>
      </c>
      <c r="F26" s="37" t="inlineStr">
        <is>
          <t>Otimista</t>
        </is>
      </c>
    </row>
    <row r="27">
      <c r="B27" t="inlineStr">
        <is>
          <t>Preço justo por ação</t>
        </is>
      </c>
      <c r="D27" s="10" t="n">
        <v>11.4618366846216</v>
      </c>
      <c r="E27" s="10" t="n">
        <v>21.31404213474807</v>
      </c>
      <c r="F27" s="10" t="n">
        <v>40.69113445682534</v>
      </c>
    </row>
    <row r="28">
      <c r="B28" t="inlineStr">
        <is>
          <t>Valor da empresa (EV)</t>
        </is>
      </c>
      <c r="D28" s="12" t="n">
        <v>27108.63841961744</v>
      </c>
      <c r="E28" s="12" t="n">
        <v>46450.29702652001</v>
      </c>
      <c r="F28" s="12" t="n">
        <v>84491.02875763105</v>
      </c>
    </row>
    <row r="29">
      <c r="B29" t="inlineStr">
        <is>
          <t>Valor do acionista</t>
        </is>
      </c>
      <c r="D29" s="12" t="n">
        <v>22501.65541961744</v>
      </c>
      <c r="E29" s="12" t="n">
        <v>41843.31402652001</v>
      </c>
      <c r="F29" s="12" t="n">
        <v>79884.04575763104</v>
      </c>
    </row>
    <row r="30">
      <c r="B30" t="inlineStr">
        <is>
          <t>WACC</t>
        </is>
      </c>
      <c r="D30" s="11" t="n">
        <v>0.16090374701</v>
      </c>
      <c r="E30" s="11" t="n">
        <v>0.14530374701</v>
      </c>
      <c r="F30" s="11" t="n">
        <v>0.12970374701</v>
      </c>
    </row>
    <row r="31">
      <c r="B31" t="inlineStr">
        <is>
          <t>Receita 2030E</t>
        </is>
      </c>
      <c r="D31" s="12" t="n">
        <v>69544.16860600001</v>
      </c>
      <c r="E31" s="12" t="n">
        <v>80670.61818316592</v>
      </c>
      <c r="F31" s="12" t="n">
        <v>88129.69257139998</v>
      </c>
    </row>
    <row r="32">
      <c r="B32" t="inlineStr">
        <is>
          <t>Margem EBITDA 2030E</t>
        </is>
      </c>
      <c r="D32" s="11" t="n">
        <v>0.1613</v>
      </c>
      <c r="E32" s="11" t="n">
        <v>0.1971</v>
      </c>
      <c r="F32" s="11" t="n">
        <v>0.2506</v>
      </c>
    </row>
    <row r="33">
      <c r="B33" t="inlineStr">
        <is>
          <t>Caixa no fim de 2030E</t>
        </is>
      </c>
      <c r="D33" s="12" t="n">
        <v>11133.54197155418</v>
      </c>
      <c r="E33" s="12" t="n">
        <v>12136.95801279255</v>
      </c>
      <c r="F33" s="12" t="n">
        <v>16436.58453117789</v>
      </c>
    </row>
    <row r="34">
      <c r="B34" t="inlineStr">
        <is>
          <t>Dívida líquida / EBITDA 2030E</t>
        </is>
      </c>
      <c r="D34" s="29" t="n">
        <v>0.2717732103309047</v>
      </c>
      <c r="E34" s="29" t="n">
        <v>0.1286270429588163</v>
      </c>
      <c r="F34" s="29" t="n">
        <v>-0.1020784609376655</v>
      </c>
    </row>
    <row r="36">
      <c r="B36" t="inlineStr">
        <is>
          <t>Preço justo na planilha viva, no cenário em uso</t>
        </is>
      </c>
      <c r="D36" s="9">
        <f>'DCF'!$D$30</f>
        <v/>
      </c>
    </row>
    <row r="37">
      <c r="B37" t="inlineStr">
        <is>
          <t>Diferença para o comparativo acima (zero sem ajuste manual)</t>
        </is>
      </c>
      <c r="D37" s="30">
        <f>IF(COUNT('Premissas'!$H$8:$H$10)=0,ROUND(D36-INDEX(D27:F27,'Premissas'!$D$5),2),"-")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2026-10-09T17:18:38Z</dcterms:created>
  <dcterms:modified xsi:type="dcterms:W3CDTF">2026-10-09T17:18:38Z</dcterms:modified>
</cp:coreProperties>
</file>