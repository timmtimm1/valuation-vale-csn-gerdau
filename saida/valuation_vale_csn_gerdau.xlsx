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Premissas" sheetId="12" state="visible" r:id="rId14"/>
    <sheet name="Dad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<sst xmlns="http://schemas.openxmlformats.org/spreadsheetml/2006/main" count="1335" uniqueCount="767">
  <si>
    <t xml:space="preserve">Valuation de Vale, CSN e Gerdau</t>
  </si>
  <si>
    <t xml:space="preserve">Escolha a empresa e o cenário nas células amarelas. Todas as abas recalculam.</t>
  </si>
  <si>
    <t xml:space="preserve">Estudo acadêmico e de portfólio, com dados públicos da CVM e da B3. Não é recomendação de compra ou venda. As premissas são uma proposta por regra, ainda não revisada.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</si>
  <si>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</si>
  <si>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</si>
  <si>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</si>
  <si>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</si>
  <si>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</si>
  <si>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</si>
  <si>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</si>
  <si>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</si>
  <si>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</si>
  <si>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</si>
  <si>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</si>
  <si>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</si>
  <si>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</si>
  <si>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</si>
  <si>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</si>
  <si>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</si>
  <si>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</si>
  <si>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</si>
  <si>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</si>
  <si>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</si>
  <si>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</si>
  <si>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</si>
  <si>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</si>
  <si>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</si>
  <si>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</si>
  <si>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</si>
  <si>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</si>
  <si>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</si>
  <si>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</si>
  <si>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</si>
  <si>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</si>
  <si>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</si>
  <si>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</si>
  <si>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</si>
  <si>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</si>
  <si>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</si>
  <si>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</si>
  <si>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</si>
  <si>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</si>
  <si>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</si>
  <si>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</si>
  <si>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</si>
  <si>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</si>
  <si>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</si>
  <si>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</si>
  <si>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</si>
  <si>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</si>
  <si>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</si>
  <si>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</si>
  <si>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</si>
  <si>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</si>
  <si>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</si>
  <si>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</si>
  <si>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</si>
  <si>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</si>
  <si>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</si>
  <si>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</si>
  <si>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</si>
  <si>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</si>
  <si>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</si>
  <si>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</si>
  <si>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</si>
  <si>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</si>
  <si>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</si>
  <si>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</si>
  <si>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</si>
  <si>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</si>
  <si>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</si>
  <si>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</si>
  <si>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</si>
  <si>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</si>
  <si>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</si>
  <si>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</si>
  <si>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</si>
  <si>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</si>
  <si>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</si>
  <si>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</si>
  <si>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</si>
  <si>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</si>
  <si>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</si>
  <si>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</si>
  <si>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</si>
  <si>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</si>
  <si>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</si>
  <si>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</si>
  <si>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</si>
  <si>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</si>
  <si>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</si>
  <si>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</si>
  <si>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</si>
  <si>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</si>
  <si>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</si>
  <si>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</si>
  <si>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</si>
  <si>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</si>
  <si>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</si>
  <si>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</si>
  <si>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</si>
  <si>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</si>
  <si>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</si>
  <si>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</si>
  <si>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</si>
  <si>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</si>
  <si>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</si>
  <si>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</si>
  <si>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</si>
  <si>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</si>
  <si>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</si>
  <si>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</si>
  <si>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</si>
  <si>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</si>
  <si>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</si>
  <si>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</si>
  <si>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</si>
  <si>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</si>
  <si>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</si>
  <si>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</si>
  <si>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</si>
  <si>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</si>
  <si>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</si>
  <si>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</si>
  <si>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</si>
  <si>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</si>
  <si>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</si>
  <si>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</si>
  <si>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</si>
  <si>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</si>
  <si>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</si>
  <si>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</si>
  <si>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</si>
  <si>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</si>
  <si>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</si>
  <si>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</si>
  <si>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</si>
  <si>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</si>
  <si>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</si>
  <si>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</si>
  <si>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</si>
  <si>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</si>
  <si>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</si>
  <si>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</si>
  <si>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</si>
  <si>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</si>
  <si>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</si>
  <si>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</si>
  <si>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</si>
  <si>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</si>
  <si>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</si>
  <si>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</si>
  <si>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</si>
  <si>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</si>
  <si>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</si>
  <si>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</si>
  <si>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</si>
  <si>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</si>
  <si>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</si>
  <si>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</si>
  <si>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</si>
  <si>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</si>
  <si>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</si>
  <si>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</si>
  <si>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</si>
  <si>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</si>
  <si>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</si>
  <si>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</si>
  <si>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</si>
  <si>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</si>
  <si>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</si>
  <si>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</si>
  <si>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</si>
  <si>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</si>
  <si>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</si>
  <si>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</si>
  <si>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</si>
  <si>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</si>
  <si>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</si>
  <si>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</si>
  <si>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</si>
  <si>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</si>
  <si>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</si>
  <si>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</si>
  <si>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</si>
  <si>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</si>
  <si>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</si>
  <si>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</si>
  <si>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</si>
  <si>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</si>
  <si>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</si>
  <si>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</si>
  <si>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</si>
  <si>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</si>
  <si>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</si>
  <si>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</si>
  <si>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</si>
  <si>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</si>
  <si>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</si>
  <si>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</si>
  <si>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</si>
  <si>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</si>
  <si>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</si>
  <si>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</si>
  <si>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</si>
  <si>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</si>
  <si>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</si>
  <si>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</si>
  <si>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</si>
  <si>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</si>
  <si>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</si>
  <si>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</si>
  <si>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</si>
  <si>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</si>
  <si>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</si>
  <si>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</si>
  <si>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</si>
  <si>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</si>
  <si>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</si>
  <si>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</si>
  <si>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</si>
  <si>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</si>
  <si>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</si>
  <si>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</si>
  <si>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</si>
  <si>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</si>
  <si>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</si>
  <si>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</si>
  <si>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</si>
  <si>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</si>
  <si>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</si>
  <si>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</si>
  <si>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</si>
  <si>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</si>
  <si>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</si>
  <si>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</si>
  <si>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</si>
  <si>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</si>
  <si>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</si>
  <si>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</si>
  <si>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</si>
  <si>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</si>
  <si>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</si>
  <si>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</si>
  <si>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</si>
  <si>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</si>
  <si>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</si>
  <si>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</si>
  <si>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</si>
  <si>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</si>
  <si>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</si>
  <si>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</si>
  <si>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</si>
  <si>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</si>
  <si>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</si>
  <si>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</si>
  <si>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</si>
  <si>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</si>
  <si>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</si>
  <si>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</si>
  <si>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</si>
  <si>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</si>
  <si>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</si>
  <si>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</si>
  <si>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</si>
  <si>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</si>
  <si>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</si>
  <si>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</si>
  <si>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</si>
  <si>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</si>
  <si>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</si>
  <si>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</si>
  <si>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</si>
  <si>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</si>
  <si>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</si>
  <si>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</si>
  <si>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</si>
  <si>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</si>
  <si>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</si>
  <si>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</si>
  <si>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</si>
  <si>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</si>
  <si>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</si>
  <si>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</si>
  <si>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</si>
  <si>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</si>
  <si>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</si>
  <si>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</si>
  <si>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</si>
  <si>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</si>
  <si>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</si>
  <si>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</si>
  <si>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</si>
  <si>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</si>
  <si>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</si>
  <si>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</si>
  <si>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</si>
  <si>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</si>
  <si>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</si>
  <si>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</si>
  <si>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</si>
  <si>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</si>
  <si>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</si>
  <si>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</si>
  <si>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</si>
  <si>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</si>
  <si>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</si>
  <si>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</si>
  <si>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</si>
  <si>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</si>
  <si>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</si>
  <si>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</si>
  <si>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</si>
  <si>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</si>
  <si>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</si>
  <si>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</si>
  <si>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</si>
  <si>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</si>
  <si>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</si>
  <si>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</si>
  <si>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</si>
  <si>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</si>
  <si>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</si>
  <si>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</si>
  <si>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</si>
  <si>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</si>
  <si>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</si>
  <si>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</si>
  <si>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</si>
  <si>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</si>
  <si>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</si>
  <si>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</si>
  <si>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</si>
  <si>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</si>
  <si>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</si>
  <si>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</si>
  <si>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</si>
  <si>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</si>
  <si>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</si>
  <si>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</si>
  <si>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</si>
  <si>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</si>
  <si>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</si>
  <si>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</si>
  <si>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</si>
  <si>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</si>
  <si>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</si>
  <si>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</si>
  <si>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</si>
  <si>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</si>
  <si>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</si>
  <si>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</si>
  <si>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</si>
  <si>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</si>
  <si>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</si>
  <si>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</si>
  <si>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</si>
  <si>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</si>
  <si>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</si>
  <si>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</si>
  <si>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</si>
  <si>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</si>
  <si>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</si>
  <si>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</si>
  <si>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</si>
  <si>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</si>
  <si>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</si>
  <si>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</si>
  <si>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</si>
  <si>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</si>
  <si>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</si>
  <si>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</si>
  <si>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</si>
  <si>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</si>
  <si>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</si>
  <si>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</si>
  <si>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</si>
  <si>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</si>
  <si>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</si>
  <si>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</si>
  <si>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</si>
  <si>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</si>
  <si>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</si>
  <si>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</si>
  <si>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</si>
  <si>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</si>
  <si>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</si>
  <si>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</si>
  <si>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</si>
  <si>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</si>
  <si>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</si>
  <si>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</si>
  <si>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</si>
  <si>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</si>
  <si>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</si>
  <si>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</si>
  <si>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</si>
  <si>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</si>
  <si>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</si>
  <si>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</si>
  <si>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</si>
  <si>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</si>
  <si>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</si>
  <si>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</si>
  <si>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</si>
  <si>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</si>
  <si>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</si>
  <si>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</si>
  <si>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</si>
  <si>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</si>
  <si>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</si>
  <si>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</si>
  <si>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</si>
  <si>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</si>
  <si>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</si>
  <si>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</si>
  <si>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</si>
  <si>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</si>
  <si>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</si>
  <si>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</si>
  <si>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</si>
  <si>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</si>
  <si>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</si>
  <si>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</si>
  <si>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</si>
  <si>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</si>
  <si>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</si>
  <si>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</si>
  <si>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</si>
  <si>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</si>
  <si>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</si>
  <si>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</si>
  <si>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</si>
  <si>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</si>
  <si>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</si>
  <si>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</si>
  <si>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</si>
  <si>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</si>
  <si>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</si>
  <si>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</si>
  <si>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</si>
  <si>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</si>
  <si>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</si>
  <si>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</si>
  <si>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</si>
  <si>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</si>
  <si>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</si>
  <si>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</si>
  <si>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</si>
  <si>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</si>
  <si>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</si>
  <si>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</si>
  <si>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</si>
  <si>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</si>
  <si>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</si>
  <si>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</si>
  <si>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</si>
  <si>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</si>
  <si>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</si>
  <si>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</si>
  <si>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</si>
  <si>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</si>
  <si>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</si>
  <si>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</si>
  <si>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</si>
  <si>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</si>
  <si>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Usiminas (USIM5)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</si>
  <si>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</si>
  <si>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</si>
  <si>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</si>
  <si>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</si>
  <si>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</si>
  <si>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</si>
  <si>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</si>
  <si>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</si>
  <si>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</si>
  <si>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</si>
  <si>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</si>
  <si>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</si>
  <si>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</si>
  <si>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</si>
  <si>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</si>
  <si>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</si>
  <si>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</si>
  <si>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</si>
  <si>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</si>
  <si>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</si>
  <si>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</si>
  <si>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</si>
  <si>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</si>
  <si>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</si>
  <si>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</si>
  <si>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</si>
  <si>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</si>
  <si>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</si>
  <si>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</si>
  <si>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</si>
  <si>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</si>
  <si>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</si>
  <si>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</si>
  <si>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</si>
  <si>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</si>
  <si>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</si>
  <si>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</si>
  <si>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</si>
  <si>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</si>
  <si>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</si>
  <si>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</si>
  <si>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</si>
  <si>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</si>
  <si>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</si>
  <si>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</si>
  <si>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</si>
  <si>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</si>
  <si>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</si>
  <si>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</si>
  <si>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</si>
  <si>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</si>
  <si>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</si>
  <si>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</si>
  <si>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</si>
  <si>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</si>
  <si>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</si>
  <si>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</si>
  <si>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</si>
  <si>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</si>
  <si>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</si>
  <si>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</si>
  <si>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</si>
  <si>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</si>
  <si>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</si>
  <si>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</si>
  <si>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</si>
  <si>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</si>
  <si>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</si>
  <si>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</si>
  <si>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</si>
  <si>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</si>
  <si>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</si>
  <si>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</si>
  <si>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</si>
  <si>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</si>
  <si>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</si>
  <si>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</si>
  <si>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</si>
  <si>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</si>
  <si>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</si>
  <si>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</si>
  <si>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</si>
  <si>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</si>
  <si>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</si>
  <si>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</si>
  <si>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</si>
  <si>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</si>
  <si>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</si>
  <si>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</si>
  <si>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</si>
  <si>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</si>
  <si>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</si>
  <si>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</si>
  <si>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</si>
  <si>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</si>
  <si>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</si>
  <si>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</si>
  <si>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</si>
  <si>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</si>
  <si>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</si>
  <si>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</si>
  <si>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</si>
  <si>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</si>
  <si>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</si>
  <si>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</si>
  <si>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</si>
  <si>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</si>
  <si>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</si>
  <si>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</si>
  <si>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</si>
  <si>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</si>
  <si>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</si>
  <si>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</si>
  <si>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</si>
  <si>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</si>
  <si>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</si>
  <si>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</si>
  <si>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</si>
  <si>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</si>
  <si>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</si>
  <si>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</si>
  <si>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</si>
  <si>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</si>
  <si>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</si>
  <si>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</si>
  <si>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</si>
  <si>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</si>
  <si>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</si>
  <si>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</si>
  <si>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</si>
  <si>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</si>
  <si>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</si>
  <si>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</si>
  <si>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</si>
  <si>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</si>
  <si>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</si>
  <si>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</si>
  <si>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</si>
  <si>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</si>
  <si>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</si>
  <si>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</si>
  <si>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</si>
  <si>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</si>
  <si>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</si>
  <si>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</si>
  <si>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</si>
  <si>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</si>
  <si>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</si>
  <si>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</si>
  <si>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</si>
  <si>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</si>
  <si>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</si>
  <si>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</si>
  <si>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</si>
  <si>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</si>
  <si>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</si>
  <si>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</si>
  <si>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</si>
  <si>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</si>
  <si>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</si>
  <si>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</si>
  <si>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</si>
  <si>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</si>
  <si>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</si>
  <si>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</si>
  <si>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</si>
  <si>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</si>
  <si>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</si>
  <si>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</si>
  <si>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</si>
  <si>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</si>
  <si>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</si>
  <si>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</si>
  <si>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</si>
  <si>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</si>
  <si>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</si>
  <si>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</si>
  <si>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</si>
  <si>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</si>
  <si>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</si>
  <si>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</si>
  <si>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</si>
  <si>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</si>
  <si>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</si>
  <si>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</si>
  <si>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</si>
  <si>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</si>
  <si>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</si>
  <si>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</si>
  <si>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</si>
  <si>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</si>
  <si>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</si>
  <si>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</si>
  <si>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</si>
  <si>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</si>
  <si>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</si>
  <si>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</si>
  <si>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</si>
  <si>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</si>
  <si>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</si>
  <si>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</si>
  <si>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</si>
  <si>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</si>
  <si>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</si>
  <si>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</si>
  <si>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</si>
  <si>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</si>
  <si>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</si>
  <si>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</si>
  <si>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</si>
  <si>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</si>
  <si>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</si>
  <si>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</si>
  <si>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</si>
  <si>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</si>
  <si>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</si>
  <si>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</si>
  <si>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</si>
  <si>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</si>
  <si>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</si>
  <si>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</si>
  <si>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</si>
  <si>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</si>
  <si>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</si>
  <si>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</si>
  <si>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</si>
  <si>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</si>
  <si>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</si>
  <si>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</si>
  <si>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</si>
  <si>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</si>
  <si>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</si>
  <si>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</si>
  <si>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</si>
  <si>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</si>
  <si>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</si>
  <si>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</si>
  <si>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</si>
  <si>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</si>
  <si>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</si>
  <si>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</si>
  <si>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</si>
  <si>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</si>
  <si>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</si>
  <si>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</si>
  <si>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</si>
  <si>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</si>
  <si>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</si>
  <si>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</si>
  <si>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</si>
  <si>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</si>
  <si>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</si>
  <si>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</si>
  <si>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</si>
  <si>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</si>
  <si>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</si>
  <si>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</si>
  <si>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</si>
  <si>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</si>
  <si>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</si>
  <si>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</si>
  <si>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</si>
  <si>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</si>
  <si>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</si>
  <si>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</si>
  <si>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</si>
  <si>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</si>
  <si>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</si>
  <si>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12,2% a 15,3%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</si>
  <si>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</si>
  <si>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</si>
  <si>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</si>
  <si>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</si>
  <si>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</si>
  <si>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</si>
  <si>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A taxa do Tesouro prefixado de dez anos, a mesma para as três empresas. Custo implícito mediano 2023-2025: 17,8%.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</si>
  <si>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</si>
  <si>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</si>
  <si>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</si>
  <si>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0,64.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</si>
  <si>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</si>
  <si>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</si>
  <si>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</si>
  <si>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</si>
  <si>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</si>
  <si>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</si>
  <si>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</si>
  <si>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</si>
  <si>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</si>
  <si>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</si>
  <si>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</si>
  <si>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</si>
  <si>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(10,0% ao ano), limitado a 4% acima da inflação porque parte veio de aquisições.</t>
  </si>
  <si>
    <t xml:space="preserve">A taxa do Tesouro prefixado de dez anos, a mesma para as três empresas. Custo implícito mediano 2023-2025: 14,2%.</t>
  </si>
  <si>
    <t xml:space="preserve">Regressão de 5 anos, retornos semanais contra o BOVA11, preços sem ajuste de proventos. Beta de 2 anos: 1,48.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</si>
  <si>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(6,1% ao ano).</t>
  </si>
  <si>
    <t xml:space="preserve">A taxa do Tesouro prefixado de dez anos, a mesma para as três empresas. Custo implícito mediano 2023-2025: 19,3%.</t>
  </si>
  <si>
    <t xml:space="preserve">Regressão de 5 anos, retornos semanais contra o BOVA11, preços sem ajuste de proventos. Beta de 2 anos: 0,71.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</si>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</sst>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65242280"/>
        <c:axId val="71378906"/>
      </c:barChart>
      <c:catAx>
        <c:axId val="65242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78906"/>
        <c:crosses val="autoZero"/>
        <c:auto val="1"/>
        <c:lblAlgn val="ctr"/>
        <c:lblOffset val="100"/>
        <c:noMultiLvlLbl val="0"/>
      </c:catAx>
      <c:valAx>
        <c:axId val="71378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422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Correlação!P21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Correlação!$P$22:$P$90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Correlação!Q21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Correlação!$Q$22:$Q$90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0750784"/>
        <c:axId val="97798197"/>
      </c:lineChart>
      <c:catAx>
        <c:axId val="8075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98197"/>
        <c:crosses val="autoZero"/>
        <c:auto val="1"/>
        <c:lblAlgn val="ctr"/>
        <c:lblOffset val="100"/>
        <c:noMultiLvlLbl val="0"/>
      </c:catAx>
      <c:valAx>
        <c:axId val="97798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507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Correlação!$J$23:$J$90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Correlação!$O$23:$O$90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3846684"/>
        <c:axId val="90065978"/>
      </c:scatterChart>
      <c:valAx>
        <c:axId val="38466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065978"/>
        <c:crosses val="autoZero"/>
        <c:crossBetween val="midCat"/>
      </c:valAx>
      <c:valAx>
        <c:axId val="90065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668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4680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2098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MATCH($D$5,$X$5:$X$7,0)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9" customFormat="false" ht="15" hidden="false" customHeight="false" outlineLevel="0" collapsed="false">
      <c r="B9" s="8" t="s">
        <v>11</v>
      </c>
      <c r="C9" s="9" t="s">
        <v>12</v>
      </c>
      <c r="D9" s="9" t="s">
        <v>13</v>
      </c>
      <c r="E9" s="9" t="s">
        <v>8</v>
      </c>
      <c r="F9" s="9" t="s">
        <v>14</v>
      </c>
      <c r="G9" s="9" t="s">
        <v>15</v>
      </c>
      <c r="H9" s="9" t="s">
        <v>16</v>
      </c>
      <c r="X9" s="7" t="s">
        <v>13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17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18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14</v>
      </c>
    </row>
    <row r="12" customFormat="false" ht="15" hidden="false" customHeight="false" outlineLevel="0" collapsed="false">
      <c r="B12" s="4" t="s">
        <v>19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20</v>
      </c>
    </row>
    <row r="15" customFormat="false" ht="15" hidden="false" customHeight="false" outlineLevel="0" collapsed="false">
      <c r="B15" s="13" t="s">
        <v>21</v>
      </c>
      <c r="C15" s="13" t="s">
        <v>22</v>
      </c>
      <c r="D15" s="13" t="s">
        <v>23</v>
      </c>
    </row>
    <row r="16" customFormat="false" ht="17.35" hidden="false" customHeight="false" outlineLevel="0" collapsed="false">
      <c r="B16" s="4" t="s">
        <v>24</v>
      </c>
      <c r="C16" s="14" t="n">
        <f aca="false">'Valor justo'!D29</f>
        <v>84.0693882403208</v>
      </c>
      <c r="D16" s="2" t="s">
        <v>25</v>
      </c>
    </row>
    <row r="17" customFormat="false" ht="15" hidden="false" customHeight="false" outlineLevel="0" collapsed="false">
      <c r="B17" s="15" t="s">
        <v>26</v>
      </c>
      <c r="C17" s="16" t="n">
        <f aca="false">'Valor justo'!D30</f>
        <v>67.64</v>
      </c>
      <c r="D17" s="2" t="s">
        <v>27</v>
      </c>
    </row>
    <row r="18" customFormat="false" ht="15" hidden="false" customHeight="false" outlineLevel="0" collapsed="false">
      <c r="B18" s="15" t="s">
        <v>28</v>
      </c>
      <c r="C18" s="11" t="n">
        <f aca="false">'Valor justo'!D31</f>
        <v>0.242894562985227</v>
      </c>
      <c r="D18" s="2" t="s">
        <v>29</v>
      </c>
    </row>
    <row r="19" customFormat="false" ht="15" hidden="false" customHeight="false" outlineLevel="0" collapsed="false">
      <c r="B19" s="15" t="s">
        <v>30</v>
      </c>
      <c r="C19" s="17" t="n">
        <f aca="false">'Valor justo'!D22</f>
        <v>388137.318310682</v>
      </c>
      <c r="D19" s="2" t="s">
        <v>31</v>
      </c>
    </row>
    <row r="20" customFormat="false" ht="15" hidden="false" customHeight="false" outlineLevel="0" collapsed="false">
      <c r="B20" s="15" t="s">
        <v>32</v>
      </c>
      <c r="C20" s="17" t="n">
        <f aca="false">'Valor justo'!D27</f>
        <v>342361.318310682</v>
      </c>
      <c r="D20" s="2" t="s">
        <v>33</v>
      </c>
    </row>
    <row r="21" customFormat="false" ht="15" hidden="false" customHeight="false" outlineLevel="0" collapsed="false">
      <c r="B21" s="15" t="s">
        <v>34</v>
      </c>
      <c r="C21" s="11" t="n">
        <f aca="false">'Valor justo'!D32</f>
        <v>0.734038701125195</v>
      </c>
      <c r="D21" s="2" t="s">
        <v>35</v>
      </c>
    </row>
    <row r="22" customFormat="false" ht="15" hidden="false" customHeight="false" outlineLevel="0" collapsed="false">
      <c r="B22" s="15" t="s">
        <v>36</v>
      </c>
      <c r="C22" s="16" t="n">
        <f aca="false">'Valor justo'!D43</f>
        <v>71.9711006308269</v>
      </c>
      <c r="D22" s="2" t="s">
        <v>37</v>
      </c>
    </row>
    <row r="24" customFormat="false" ht="15" hidden="false" customHeight="false" outlineLevel="0" collapsed="false">
      <c r="B24" s="13" t="s">
        <v>38</v>
      </c>
      <c r="C24" s="13" t="s">
        <v>22</v>
      </c>
      <c r="D24" s="13" t="s">
        <v>39</v>
      </c>
    </row>
    <row r="25" customFormat="false" ht="15" hidden="false" customHeight="false" outlineLevel="0" collapsed="false">
      <c r="B25" s="0" t="s">
        <v>40</v>
      </c>
      <c r="C25" s="17" t="n">
        <f aca="false">FCFF!E13</f>
        <v>27056.5532742396</v>
      </c>
      <c r="D25" s="2" t="s">
        <v>41</v>
      </c>
    </row>
    <row r="26" customFormat="false" ht="15" hidden="false" customHeight="false" outlineLevel="0" collapsed="false">
      <c r="B26" s="0" t="s">
        <v>42</v>
      </c>
      <c r="C26" s="18" t="n">
        <f aca="false">WACC!D22</f>
        <v>0.14115595075</v>
      </c>
      <c r="D26" s="2" t="s">
        <v>43</v>
      </c>
    </row>
    <row r="27" customFormat="false" ht="15" hidden="false" customHeight="false" outlineLevel="0" collapsed="false">
      <c r="B27" s="0" t="s">
        <v>44</v>
      </c>
      <c r="C27" s="17" t="n">
        <f aca="false">'Valor justo'!D21</f>
        <v>103229.505319693</v>
      </c>
      <c r="D27" s="2" t="s">
        <v>45</v>
      </c>
    </row>
    <row r="28" customFormat="false" ht="15" hidden="false" customHeight="false" outlineLevel="0" collapsed="false">
      <c r="B28" s="0" t="s">
        <v>46</v>
      </c>
      <c r="C28" s="17" t="n">
        <f aca="false">'Valor justo'!D18</f>
        <v>284907.812990989</v>
      </c>
      <c r="D28" s="2" t="s">
        <v>45</v>
      </c>
    </row>
    <row r="29" customFormat="false" ht="15" hidden="false" customHeight="false" outlineLevel="0" collapsed="false">
      <c r="B29" s="0" t="s">
        <v>47</v>
      </c>
      <c r="C29" s="17" t="n">
        <f aca="false">'Valor justo'!D22</f>
        <v>388137.318310682</v>
      </c>
      <c r="D29" s="2" t="s">
        <v>45</v>
      </c>
    </row>
    <row r="30" customFormat="false" ht="15" hidden="false" customHeight="false" outlineLevel="0" collapsed="false">
      <c r="B30" s="0" t="s">
        <v>48</v>
      </c>
      <c r="C30" s="17" t="n">
        <f aca="false">'Valor justo'!D27</f>
        <v>342361.318310682</v>
      </c>
      <c r="D30" s="2" t="s">
        <v>45</v>
      </c>
    </row>
    <row r="31" customFormat="false" ht="15" hidden="false" customHeight="false" outlineLevel="0" collapsed="false">
      <c r="B31" s="0" t="s">
        <v>49</v>
      </c>
      <c r="C31" s="16" t="n">
        <f aca="false">'Valor justo'!D29</f>
        <v>84.0693882403208</v>
      </c>
      <c r="D31" s="2" t="s">
        <v>50</v>
      </c>
    </row>
  </sheetData>
  <dataValidations count="5">
    <dataValidation allowBlank="false" errorStyle="stop" operator="between" showDropDown="false" showErrorMessage="false" showInputMessage="false" sqref="D5" type="list">
      <formula1>$X$5:$X$7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51</v>
      </c>
    </row>
    <row r="4" customFormat="false" ht="15" hidden="false" customHeight="false" outlineLevel="0" collapsed="false">
      <c r="B4" s="13" t="s">
        <v>52</v>
      </c>
      <c r="C4" s="19"/>
      <c r="D4" s="19"/>
    </row>
    <row r="5" customFormat="false" ht="48" hidden="false" customHeight="true" outlineLevel="0" collapsed="false">
      <c r="B5" s="20" t="s">
        <v>53</v>
      </c>
      <c r="C5" s="20"/>
      <c r="D5" s="20"/>
    </row>
    <row r="6" customFormat="false" ht="15" hidden="false" customHeight="false" outlineLevel="0" collapsed="false">
      <c r="B6" s="15" t="s">
        <v>54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55</v>
      </c>
      <c r="C7" s="17" t="n">
        <f aca="false">FCFF!E10</f>
        <v>17336.0875516427</v>
      </c>
      <c r="D7" s="2" t="s">
        <v>56</v>
      </c>
    </row>
    <row r="8" customFormat="false" ht="15" hidden="false" customHeight="false" outlineLevel="0" collapsed="false">
      <c r="B8" s="15" t="s">
        <v>57</v>
      </c>
      <c r="C8" s="17" t="n">
        <f aca="false">FCFF!E11</f>
        <v>32791.1265920933</v>
      </c>
      <c r="D8" s="2" t="s">
        <v>58</v>
      </c>
    </row>
    <row r="9" customFormat="false" ht="15" hidden="false" customHeight="false" outlineLevel="0" collapsed="false">
      <c r="B9" s="15" t="s">
        <v>59</v>
      </c>
      <c r="C9" s="17" t="n">
        <f aca="false">FCFF!E12</f>
        <v>527.234456494167</v>
      </c>
      <c r="D9" s="2" t="s">
        <v>60</v>
      </c>
    </row>
    <row r="10" customFormat="false" ht="15" hidden="false" customHeight="false" outlineLevel="0" collapsed="false">
      <c r="B10" s="4" t="s">
        <v>61</v>
      </c>
      <c r="C10" s="21" t="n">
        <f aca="false">FCFF!E13</f>
        <v>27056.5532742396</v>
      </c>
      <c r="D10" s="2" t="s">
        <v>62</v>
      </c>
    </row>
    <row r="12" customFormat="false" ht="15" hidden="false" customHeight="false" outlineLevel="0" collapsed="false">
      <c r="B12" s="13" t="s">
        <v>63</v>
      </c>
      <c r="C12" s="19"/>
      <c r="D12" s="19"/>
    </row>
    <row r="13" customFormat="false" ht="48" hidden="false" customHeight="true" outlineLevel="0" collapsed="false">
      <c r="B13" s="20" t="s">
        <v>64</v>
      </c>
      <c r="C13" s="20"/>
      <c r="D13" s="20"/>
    </row>
    <row r="14" customFormat="false" ht="15" hidden="false" customHeight="false" outlineLevel="0" collapsed="false">
      <c r="B14" s="15" t="s">
        <v>65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66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67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68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69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70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71</v>
      </c>
      <c r="C20" s="22" t="n">
        <f aca="false">WACC!D22</f>
        <v>0.14115595075</v>
      </c>
      <c r="D20" s="2" t="s">
        <v>72</v>
      </c>
    </row>
    <row r="22" customFormat="false" ht="15" hidden="false" customHeight="false" outlineLevel="0" collapsed="false">
      <c r="B22" s="13" t="s">
        <v>73</v>
      </c>
      <c r="C22" s="19"/>
      <c r="D22" s="19"/>
    </row>
    <row r="23" customFormat="false" ht="48" hidden="false" customHeight="true" outlineLevel="0" collapsed="false">
      <c r="B23" s="20" t="s">
        <v>74</v>
      </c>
      <c r="C23" s="20"/>
      <c r="D23" s="20"/>
    </row>
    <row r="24" customFormat="false" ht="15" hidden="false" customHeight="false" outlineLevel="0" collapsed="false">
      <c r="B24" s="15" t="s">
        <v>75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76</v>
      </c>
      <c r="C25" s="23" t="n">
        <f aca="false">'Valor justo'!E10</f>
        <v>0.875829030426722</v>
      </c>
      <c r="D25" s="2" t="s">
        <v>77</v>
      </c>
    </row>
    <row r="26" customFormat="false" ht="15" hidden="false" customHeight="false" outlineLevel="0" collapsed="false">
      <c r="B26" s="4" t="s">
        <v>78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79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80</v>
      </c>
      <c r="C29" s="19"/>
      <c r="D29" s="19"/>
    </row>
    <row r="30" customFormat="false" ht="48" hidden="false" customHeight="true" outlineLevel="0" collapsed="false">
      <c r="B30" s="20" t="s">
        <v>81</v>
      </c>
      <c r="C30" s="20"/>
      <c r="D30" s="20"/>
    </row>
    <row r="31" customFormat="false" ht="15" hidden="false" customHeight="false" outlineLevel="0" collapsed="false">
      <c r="B31" s="15" t="s">
        <v>82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83</v>
      </c>
      <c r="C32" s="18" t="n">
        <f aca="false">'Valor justo'!D15</f>
        <v>0.035</v>
      </c>
      <c r="D32" s="2" t="s">
        <v>84</v>
      </c>
    </row>
    <row r="33" customFormat="false" ht="15" hidden="false" customHeight="false" outlineLevel="0" collapsed="false">
      <c r="B33" s="15" t="s">
        <v>85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86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87</v>
      </c>
      <c r="C36" s="19"/>
      <c r="D36" s="19"/>
    </row>
    <row r="37" customFormat="false" ht="48" hidden="false" customHeight="true" outlineLevel="0" collapsed="false">
      <c r="B37" s="20" t="s">
        <v>88</v>
      </c>
      <c r="C37" s="20"/>
      <c r="D37" s="20"/>
    </row>
    <row r="38" customFormat="false" ht="15" hidden="false" customHeight="false" outlineLevel="0" collapsed="false">
      <c r="B38" s="15" t="s">
        <v>89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90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91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92</v>
      </c>
      <c r="C42" s="19"/>
      <c r="D42" s="19"/>
    </row>
    <row r="43" customFormat="false" ht="48" hidden="false" customHeight="true" outlineLevel="0" collapsed="false">
      <c r="B43" s="20" t="s">
        <v>93</v>
      </c>
      <c r="C43" s="20"/>
      <c r="D43" s="20"/>
    </row>
    <row r="44" customFormat="false" ht="15" hidden="false" customHeight="false" outlineLevel="0" collapsed="false">
      <c r="B44" s="15" t="s">
        <v>30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94</v>
      </c>
      <c r="C45" s="17" t="n">
        <f aca="false">'Valor justo'!D23</f>
        <v>68192</v>
      </c>
      <c r="D45" s="2" t="s">
        <v>95</v>
      </c>
    </row>
    <row r="46" customFormat="false" ht="15" hidden="false" customHeight="false" outlineLevel="0" collapsed="false">
      <c r="B46" s="15" t="s">
        <v>96</v>
      </c>
      <c r="C46" s="17" t="n">
        <f aca="false">'Valor justo'!D24</f>
        <v>4832</v>
      </c>
      <c r="D46" s="2" t="s">
        <v>97</v>
      </c>
    </row>
    <row r="47" customFormat="false" ht="15" hidden="false" customHeight="false" outlineLevel="0" collapsed="false">
      <c r="B47" s="15" t="s">
        <v>98</v>
      </c>
      <c r="C47" s="17" t="n">
        <f aca="false">'Valor justo'!D25</f>
        <v>27248</v>
      </c>
      <c r="D47" s="2" t="s">
        <v>99</v>
      </c>
    </row>
    <row r="48" customFormat="false" ht="15" hidden="false" customHeight="false" outlineLevel="0" collapsed="false">
      <c r="B48" s="4" t="s">
        <v>100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101</v>
      </c>
      <c r="C50" s="19"/>
      <c r="D50" s="19"/>
    </row>
    <row r="51" customFormat="false" ht="48" hidden="false" customHeight="true" outlineLevel="0" collapsed="false">
      <c r="B51" s="20" t="s">
        <v>102</v>
      </c>
      <c r="C51" s="20"/>
      <c r="D51" s="20"/>
    </row>
    <row r="52" customFormat="false" ht="15" hidden="false" customHeight="false" outlineLevel="0" collapsed="false">
      <c r="B52" s="15" t="s">
        <v>32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103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104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26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105</v>
      </c>
      <c r="C56" s="11" t="n">
        <f aca="false">'Valor justo'!D31</f>
        <v>0.242894562985227</v>
      </c>
      <c r="D56" s="2" t="s">
        <v>106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107</v>
      </c>
    </row>
    <row r="4" customFormat="false" ht="15" hidden="false" customHeight="false" outlineLevel="0" collapsed="false">
      <c r="B4" s="8" t="s">
        <v>108</v>
      </c>
      <c r="C4" s="9" t="s">
        <v>109</v>
      </c>
      <c r="D4" s="9" t="s">
        <v>110</v>
      </c>
      <c r="E4" s="9" t="s">
        <v>111</v>
      </c>
      <c r="F4" s="9" t="s">
        <v>112</v>
      </c>
      <c r="G4" s="9" t="s">
        <v>113</v>
      </c>
      <c r="H4" s="9" t="s">
        <v>114</v>
      </c>
      <c r="I4" s="9" t="s">
        <v>115</v>
      </c>
      <c r="J4" s="9" t="s">
        <v>116</v>
      </c>
      <c r="K4" s="9" t="s">
        <v>117</v>
      </c>
      <c r="L4" s="8" t="s">
        <v>23</v>
      </c>
    </row>
    <row r="5" customFormat="false" ht="15" hidden="false" customHeight="false" outlineLevel="0" collapsed="false">
      <c r="B5" s="26" t="s">
        <v>118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119</v>
      </c>
      <c r="C6" s="17" t="n">
        <f aca="false">INDEX(Dados!C$1:C$112,6+36*(Painel!$Y$5-1))</f>
        <v>134483.126</v>
      </c>
      <c r="D6" s="17" t="n">
        <f aca="false">INDEX(Dados!D$1:D$112,6+36*(Painel!$Y$5-1))</f>
        <v>148639.921</v>
      </c>
      <c r="E6" s="17" t="n">
        <f aca="false">INDEX(Dados!E$1:E$112,6+36*(Painel!$Y$5-1))</f>
        <v>208528.759</v>
      </c>
      <c r="F6" s="17" t="n">
        <f aca="false">INDEX(Dados!F$1:F$112,6+36*(Painel!$Y$5-1))</f>
        <v>293524</v>
      </c>
      <c r="G6" s="17" t="n">
        <f aca="false">INDEX(Dados!G$1:G$112,6+36*(Painel!$Y$5-1))</f>
        <v>226508</v>
      </c>
      <c r="H6" s="17" t="n">
        <f aca="false">INDEX(Dados!H$1:H$112,6+36*(Painel!$Y$5-1))</f>
        <v>208066</v>
      </c>
      <c r="I6" s="17" t="n">
        <f aca="false">INDEX(Dados!I$1:I$112,6+36*(Painel!$Y$5-1))</f>
        <v>206005</v>
      </c>
      <c r="J6" s="17" t="n">
        <f aca="false">INDEX(Dados!J$1:J$112,6+36*(Painel!$Y$5-1))</f>
        <v>213595</v>
      </c>
      <c r="K6" s="17" t="n">
        <f aca="false">INDEX(Dados!K$1:K$112,6+36*(Painel!$Y$5-1))</f>
        <v>218069</v>
      </c>
      <c r="L6" s="2" t="s">
        <v>120</v>
      </c>
    </row>
    <row r="7" customFormat="false" ht="15" hidden="false" customHeight="false" outlineLevel="0" collapsed="false">
      <c r="B7" s="15" t="s">
        <v>121</v>
      </c>
      <c r="C7" s="17" t="n">
        <f aca="false">INDEX(Dados!C$1:C$112,7+36*(Painel!$Y$5-1))</f>
        <v>-81200.904</v>
      </c>
      <c r="D7" s="17" t="n">
        <f aca="false">INDEX(Dados!D$1:D$112,7+36*(Painel!$Y$5-1))</f>
        <v>-83835.563</v>
      </c>
      <c r="E7" s="17" t="n">
        <f aca="false">INDEX(Dados!E$1:E$112,7+36*(Painel!$Y$5-1))</f>
        <v>-98567.494</v>
      </c>
      <c r="F7" s="17" t="n">
        <f aca="false">INDEX(Dados!F$1:F$112,7+36*(Painel!$Y$5-1))</f>
        <v>-117267</v>
      </c>
      <c r="G7" s="17" t="n">
        <f aca="false">INDEX(Dados!G$1:G$112,7+36*(Painel!$Y$5-1))</f>
        <v>-124195</v>
      </c>
      <c r="H7" s="17" t="n">
        <f aca="false">INDEX(Dados!H$1:H$112,7+36*(Painel!$Y$5-1))</f>
        <v>-120016</v>
      </c>
      <c r="I7" s="17" t="n">
        <f aca="false">INDEX(Dados!I$1:I$112,7+36*(Painel!$Y$5-1))</f>
        <v>-131318</v>
      </c>
      <c r="J7" s="17" t="n">
        <f aca="false">INDEX(Dados!J$1:J$112,7+36*(Painel!$Y$5-1))</f>
        <v>-138887</v>
      </c>
      <c r="K7" s="17" t="n">
        <f aca="false">INDEX(Dados!K$1:K$112,7+36*(Painel!$Y$5-1))</f>
        <v>-141911</v>
      </c>
      <c r="L7" s="2" t="s">
        <v>122</v>
      </c>
    </row>
    <row r="8" customFormat="false" ht="15" hidden="false" customHeight="false" outlineLevel="0" collapsed="false">
      <c r="B8" s="15" t="s">
        <v>123</v>
      </c>
      <c r="C8" s="17" t="n">
        <f aca="false">INDEX(Dados!C$1:C$112,8+36*(Painel!$Y$5-1))</f>
        <v>53282.222</v>
      </c>
      <c r="D8" s="17" t="n">
        <f aca="false">INDEX(Dados!D$1:D$112,8+36*(Painel!$Y$5-1))</f>
        <v>64804.358</v>
      </c>
      <c r="E8" s="17" t="n">
        <f aca="false">INDEX(Dados!E$1:E$112,8+36*(Painel!$Y$5-1))</f>
        <v>109961.265</v>
      </c>
      <c r="F8" s="17" t="n">
        <f aca="false">INDEX(Dados!F$1:F$112,8+36*(Painel!$Y$5-1))</f>
        <v>176257</v>
      </c>
      <c r="G8" s="17" t="n">
        <f aca="false">INDEX(Dados!G$1:G$112,8+36*(Painel!$Y$5-1))</f>
        <v>102313</v>
      </c>
      <c r="H8" s="17" t="n">
        <f aca="false">INDEX(Dados!H$1:H$112,8+36*(Painel!$Y$5-1))</f>
        <v>88050</v>
      </c>
      <c r="I8" s="17" t="n">
        <f aca="false">INDEX(Dados!I$1:I$112,8+36*(Painel!$Y$5-1))</f>
        <v>74687</v>
      </c>
      <c r="J8" s="17" t="n">
        <f aca="false">INDEX(Dados!J$1:J$112,8+36*(Painel!$Y$5-1))</f>
        <v>74708</v>
      </c>
      <c r="K8" s="17" t="n">
        <f aca="false">INDEX(Dados!K$1:K$112,8+36*(Painel!$Y$5-1))</f>
        <v>76158</v>
      </c>
      <c r="L8" s="2" t="s">
        <v>124</v>
      </c>
    </row>
    <row r="9" customFormat="false" ht="15" hidden="false" customHeight="false" outlineLevel="0" collapsed="false">
      <c r="B9" s="15" t="s">
        <v>125</v>
      </c>
      <c r="C9" s="17" t="n">
        <f aca="false">INDEX(Dados!C$1:C$112,9+36*(Painel!$Y$5-1))</f>
        <v>0</v>
      </c>
      <c r="D9" s="17" t="n">
        <f aca="false">INDEX(Dados!D$1:D$112,9+36*(Painel!$Y$5-1))</f>
        <v>0</v>
      </c>
      <c r="E9" s="17" t="n">
        <f aca="false">INDEX(Dados!E$1:E$112,9+36*(Painel!$Y$5-1))</f>
        <v>0</v>
      </c>
      <c r="F9" s="17" t="n">
        <f aca="false">INDEX(Dados!F$1:F$112,9+36*(Painel!$Y$5-1))</f>
        <v>0</v>
      </c>
      <c r="G9" s="17" t="n">
        <f aca="false">INDEX(Dados!G$1:G$112,9+36*(Painel!$Y$5-1))</f>
        <v>0</v>
      </c>
      <c r="H9" s="17" t="n">
        <f aca="false">INDEX(Dados!H$1:H$112,9+36*(Painel!$Y$5-1))</f>
        <v>0</v>
      </c>
      <c r="I9" s="17" t="n">
        <f aca="false">INDEX(Dados!I$1:I$112,9+36*(Painel!$Y$5-1))</f>
        <v>0</v>
      </c>
      <c r="J9" s="17" t="n">
        <f aca="false">INDEX(Dados!J$1:J$112,9+36*(Painel!$Y$5-1))</f>
        <v>0</v>
      </c>
      <c r="K9" s="17" t="n">
        <f aca="false">INDEX(Dados!K$1:K$112,9+36*(Painel!$Y$5-1))</f>
        <v>0</v>
      </c>
      <c r="L9" s="2" t="s">
        <v>126</v>
      </c>
    </row>
    <row r="10" customFormat="false" ht="15" hidden="false" customHeight="false" outlineLevel="0" collapsed="false">
      <c r="B10" s="15" t="s">
        <v>127</v>
      </c>
      <c r="C10" s="17" t="n">
        <f aca="false">INDEX(Dados!C$1:C$112,10+36*(Painel!$Y$5-1))</f>
        <v>-1916.765</v>
      </c>
      <c r="D10" s="17" t="n">
        <f aca="false">INDEX(Dados!D$1:D$112,10+36*(Painel!$Y$5-1))</f>
        <v>-1924.308</v>
      </c>
      <c r="E10" s="17" t="n">
        <f aca="false">INDEX(Dados!E$1:E$112,10+36*(Painel!$Y$5-1))</f>
        <v>-2856.913</v>
      </c>
      <c r="F10" s="17" t="n">
        <f aca="false">INDEX(Dados!F$1:F$112,10+36*(Painel!$Y$5-1))</f>
        <v>-2601</v>
      </c>
      <c r="G10" s="17" t="n">
        <f aca="false">INDEX(Dados!G$1:G$112,10+36*(Painel!$Y$5-1))</f>
        <v>-2658</v>
      </c>
      <c r="H10" s="17" t="n">
        <f aca="false">INDEX(Dados!H$1:H$112,10+36*(Painel!$Y$5-1))</f>
        <v>-2758</v>
      </c>
      <c r="I10" s="17" t="n">
        <f aca="false">INDEX(Dados!I$1:I$112,10+36*(Painel!$Y$5-1))</f>
        <v>-3397</v>
      </c>
      <c r="J10" s="17" t="n">
        <f aca="false">INDEX(Dados!J$1:J$112,10+36*(Painel!$Y$5-1))</f>
        <v>-3566</v>
      </c>
      <c r="K10" s="17" t="n">
        <f aca="false">INDEX(Dados!K$1:K$112,10+36*(Painel!$Y$5-1))</f>
        <v>-3667</v>
      </c>
      <c r="L10" s="2" t="s">
        <v>128</v>
      </c>
    </row>
    <row r="11" customFormat="false" ht="15" hidden="false" customHeight="false" outlineLevel="0" collapsed="false">
      <c r="B11" s="15" t="s">
        <v>129</v>
      </c>
      <c r="C11" s="17" t="n">
        <f aca="false">INDEX(Dados!C$1:C$112,11+36*(Painel!$Y$5-1))</f>
        <v>-3523.458</v>
      </c>
      <c r="D11" s="17" t="n">
        <f aca="false">INDEX(Dados!D$1:D$112,11+36*(Painel!$Y$5-1))</f>
        <v>-20762.371</v>
      </c>
      <c r="E11" s="17" t="n">
        <f aca="false">INDEX(Dados!E$1:E$112,11+36*(Painel!$Y$5-1))</f>
        <v>-11818.792</v>
      </c>
      <c r="F11" s="17" t="n">
        <f aca="false">INDEX(Dados!F$1:F$112,11+36*(Painel!$Y$5-1))</f>
        <v>-2352</v>
      </c>
      <c r="G11" s="17" t="n">
        <f aca="false">INDEX(Dados!G$1:G$112,11+36*(Painel!$Y$5-1))</f>
        <v>3833</v>
      </c>
      <c r="H11" s="17" t="n">
        <f aca="false">INDEX(Dados!H$1:H$112,11+36*(Painel!$Y$5-1))</f>
        <v>-1317</v>
      </c>
      <c r="I11" s="17" t="n">
        <f aca="false">INDEX(Dados!I$1:I$112,11+36*(Painel!$Y$5-1))</f>
        <v>510</v>
      </c>
      <c r="J11" s="17" t="n">
        <f aca="false">INDEX(Dados!J$1:J$112,11+36*(Painel!$Y$5-1))</f>
        <v>-25147</v>
      </c>
      <c r="K11" s="17" t="n">
        <f aca="false">INDEX(Dados!K$1:K$112,11+36*(Painel!$Y$5-1))</f>
        <v>-23490</v>
      </c>
      <c r="L11" s="2" t="s">
        <v>130</v>
      </c>
    </row>
    <row r="12" customFormat="false" ht="15" hidden="false" customHeight="false" outlineLevel="0" collapsed="false">
      <c r="B12" s="15" t="s">
        <v>131</v>
      </c>
      <c r="C12" s="17" t="n">
        <f aca="false">INDEX(Dados!C$1:C$112,12+36*(Painel!$Y$5-1))</f>
        <v>-10106.478</v>
      </c>
      <c r="D12" s="17" t="n">
        <f aca="false">INDEX(Dados!D$1:D$112,12+36*(Painel!$Y$5-1))</f>
        <v>-62564.583</v>
      </c>
      <c r="E12" s="17" t="n">
        <f aca="false">INDEX(Dados!E$1:E$112,12+36*(Painel!$Y$5-1))</f>
        <v>-57893.647</v>
      </c>
      <c r="F12" s="17" t="n">
        <f aca="false">INDEX(Dados!F$1:F$112,12+36*(Painel!$Y$5-1))</f>
        <v>-34922</v>
      </c>
      <c r="G12" s="17" t="n">
        <f aca="false">INDEX(Dados!G$1:G$112,12+36*(Painel!$Y$5-1))</f>
        <v>-11987</v>
      </c>
      <c r="H12" s="17" t="n">
        <f aca="false">INDEX(Dados!H$1:H$112,12+36*(Painel!$Y$5-1))</f>
        <v>-22778</v>
      </c>
      <c r="I12" s="17" t="n">
        <f aca="false">INDEX(Dados!I$1:I$112,12+36*(Painel!$Y$5-1))</f>
        <v>-19228</v>
      </c>
      <c r="J12" s="17" t="n">
        <f aca="false">INDEX(Dados!J$1:J$112,12+36*(Painel!$Y$5-1))</f>
        <v>-42739</v>
      </c>
      <c r="K12" s="17" t="n">
        <f aca="false">INDEX(Dados!K$1:K$112,12+36*(Painel!$Y$5-1))</f>
        <v>-42048</v>
      </c>
      <c r="L12" s="2" t="s">
        <v>132</v>
      </c>
    </row>
    <row r="13" customFormat="false" ht="15" hidden="false" customHeight="false" outlineLevel="0" collapsed="false">
      <c r="B13" s="15" t="s">
        <v>133</v>
      </c>
      <c r="C13" s="17" t="n">
        <f aca="false">INDEX(Dados!C$1:C$112,13+36*(Painel!$Y$5-1))</f>
        <v>-693.486</v>
      </c>
      <c r="D13" s="17" t="n">
        <f aca="false">INDEX(Dados!D$1:D$112,13+36*(Painel!$Y$5-1))</f>
        <v>-2683.903</v>
      </c>
      <c r="E13" s="17" t="n">
        <f aca="false">INDEX(Dados!E$1:E$112,13+36*(Painel!$Y$5-1))</f>
        <v>-5435.93</v>
      </c>
      <c r="F13" s="17" t="n">
        <f aca="false">INDEX(Dados!F$1:F$112,13+36*(Painel!$Y$5-1))</f>
        <v>-6947</v>
      </c>
      <c r="G13" s="17" t="n">
        <f aca="false">INDEX(Dados!G$1:G$112,13+36*(Painel!$Y$5-1))</f>
        <v>1616</v>
      </c>
      <c r="H13" s="17" t="n">
        <f aca="false">INDEX(Dados!H$1:H$112,13+36*(Painel!$Y$5-1))</f>
        <v>-5434</v>
      </c>
      <c r="I13" s="17" t="n">
        <f aca="false">INDEX(Dados!I$1:I$112,13+36*(Painel!$Y$5-1))</f>
        <v>-1570</v>
      </c>
      <c r="J13" s="17" t="n">
        <f aca="false">INDEX(Dados!J$1:J$112,13+36*(Painel!$Y$5-1))</f>
        <v>-1170</v>
      </c>
      <c r="K13" s="17" t="n">
        <f aca="false">INDEX(Dados!K$1:K$112,13+36*(Painel!$Y$5-1))</f>
        <v>-453</v>
      </c>
      <c r="L13" s="2" t="s">
        <v>134</v>
      </c>
    </row>
    <row r="14" customFormat="false" ht="15" hidden="false" customHeight="false" outlineLevel="0" collapsed="false">
      <c r="B14" s="15" t="s">
        <v>135</v>
      </c>
      <c r="C14" s="17" t="n">
        <f aca="false">INDEX(Dados!C$1:C$112,14+36*(Painel!$Y$5-1))</f>
        <v>43175.744</v>
      </c>
      <c r="D14" s="17" t="n">
        <f aca="false">INDEX(Dados!D$1:D$112,14+36*(Painel!$Y$5-1))</f>
        <v>2239.775</v>
      </c>
      <c r="E14" s="17" t="n">
        <f aca="false">INDEX(Dados!E$1:E$112,14+36*(Painel!$Y$5-1))</f>
        <v>52067.618</v>
      </c>
      <c r="F14" s="17" t="n">
        <f aca="false">INDEX(Dados!F$1:F$112,14+36*(Painel!$Y$5-1))</f>
        <v>141335</v>
      </c>
      <c r="G14" s="17" t="n">
        <f aca="false">INDEX(Dados!G$1:G$112,14+36*(Painel!$Y$5-1))</f>
        <v>90326</v>
      </c>
      <c r="H14" s="17" t="n">
        <f aca="false">INDEX(Dados!H$1:H$112,14+36*(Painel!$Y$5-1))</f>
        <v>65272</v>
      </c>
      <c r="I14" s="17" t="n">
        <f aca="false">INDEX(Dados!I$1:I$112,14+36*(Painel!$Y$5-1))</f>
        <v>55459</v>
      </c>
      <c r="J14" s="17" t="n">
        <f aca="false">INDEX(Dados!J$1:J$112,14+36*(Painel!$Y$5-1))</f>
        <v>31969</v>
      </c>
      <c r="K14" s="17" t="n">
        <f aca="false">INDEX(Dados!K$1:K$112,14+36*(Painel!$Y$5-1))</f>
        <v>34110</v>
      </c>
      <c r="L14" s="2" t="s">
        <v>136</v>
      </c>
    </row>
    <row r="15" customFormat="false" ht="15" hidden="false" customHeight="false" outlineLevel="0" collapsed="false">
      <c r="B15" s="15" t="s">
        <v>137</v>
      </c>
      <c r="C15" s="17" t="n">
        <f aca="false">INDEX(Dados!C$1:C$112,15+36*(Painel!$Y$5-1))</f>
        <v>-18057.519</v>
      </c>
      <c r="D15" s="17" t="n">
        <f aca="false">INDEX(Dados!D$1:D$112,15+36*(Painel!$Y$5-1))</f>
        <v>-13444.786</v>
      </c>
      <c r="E15" s="17" t="n">
        <f aca="false">INDEX(Dados!E$1:E$112,15+36*(Painel!$Y$5-1))</f>
        <v>-24140.63</v>
      </c>
      <c r="F15" s="17" t="n">
        <f aca="false">INDEX(Dados!F$1:F$112,15+36*(Painel!$Y$5-1))</f>
        <v>17812</v>
      </c>
      <c r="G15" s="17" t="n">
        <f aca="false">INDEX(Dados!G$1:G$112,15+36*(Painel!$Y$5-1))</f>
        <v>11378</v>
      </c>
      <c r="H15" s="17" t="n">
        <f aca="false">INDEX(Dados!H$1:H$112,15+36*(Painel!$Y$5-1))</f>
        <v>-9718</v>
      </c>
      <c r="I15" s="17" t="n">
        <f aca="false">INDEX(Dados!I$1:I$112,15+36*(Painel!$Y$5-1))</f>
        <v>-21235</v>
      </c>
      <c r="J15" s="17" t="n">
        <f aca="false">INDEX(Dados!J$1:J$112,15+36*(Painel!$Y$5-1))</f>
        <v>-5276</v>
      </c>
      <c r="K15" s="17" t="n">
        <f aca="false">INDEX(Dados!K$1:K$112,15+36*(Painel!$Y$5-1))</f>
        <v>-9699</v>
      </c>
      <c r="L15" s="2" t="s">
        <v>138</v>
      </c>
    </row>
    <row r="16" customFormat="false" ht="15" hidden="false" customHeight="false" outlineLevel="0" collapsed="false">
      <c r="B16" s="15" t="s">
        <v>139</v>
      </c>
      <c r="C16" s="17" t="n">
        <f aca="false">INDEX(Dados!C$1:C$112,16+36*(Painel!$Y$5-1))</f>
        <v>25118.225</v>
      </c>
      <c r="D16" s="17" t="n">
        <f aca="false">INDEX(Dados!D$1:D$112,16+36*(Painel!$Y$5-1))</f>
        <v>-11205.011</v>
      </c>
      <c r="E16" s="17" t="n">
        <f aca="false">INDEX(Dados!E$1:E$112,16+36*(Painel!$Y$5-1))</f>
        <v>27926.988</v>
      </c>
      <c r="F16" s="17" t="n">
        <f aca="false">INDEX(Dados!F$1:F$112,16+36*(Painel!$Y$5-1))</f>
        <v>159147</v>
      </c>
      <c r="G16" s="17" t="n">
        <f aca="false">INDEX(Dados!G$1:G$112,16+36*(Painel!$Y$5-1))</f>
        <v>101704</v>
      </c>
      <c r="H16" s="17" t="n">
        <f aca="false">INDEX(Dados!H$1:H$112,16+36*(Painel!$Y$5-1))</f>
        <v>55554</v>
      </c>
      <c r="I16" s="17" t="n">
        <f aca="false">INDEX(Dados!I$1:I$112,16+36*(Painel!$Y$5-1))</f>
        <v>34224</v>
      </c>
      <c r="J16" s="17" t="n">
        <f aca="false">INDEX(Dados!J$1:J$112,16+36*(Painel!$Y$5-1))</f>
        <v>26693</v>
      </c>
      <c r="K16" s="17" t="n">
        <f aca="false">INDEX(Dados!K$1:K$112,16+36*(Painel!$Y$5-1))</f>
        <v>24411</v>
      </c>
      <c r="L16" s="2" t="s">
        <v>140</v>
      </c>
    </row>
    <row r="17" customFormat="false" ht="15" hidden="false" customHeight="false" outlineLevel="0" collapsed="false">
      <c r="B17" s="15" t="s">
        <v>141</v>
      </c>
      <c r="C17" s="17" t="n">
        <f aca="false">INDEX(Dados!C$1:C$112,17+36*(Painel!$Y$5-1))</f>
        <v>965.98</v>
      </c>
      <c r="D17" s="17" t="n">
        <f aca="false">INDEX(Dados!D$1:D$112,17+36*(Painel!$Y$5-1))</f>
        <v>2508.971</v>
      </c>
      <c r="E17" s="17" t="n">
        <f aca="false">INDEX(Dados!E$1:E$112,17+36*(Painel!$Y$5-1))</f>
        <v>-3024.647</v>
      </c>
      <c r="F17" s="17" t="n">
        <f aca="false">INDEX(Dados!F$1:F$112,17+36*(Painel!$Y$5-1))</f>
        <v>-25320</v>
      </c>
      <c r="G17" s="17" t="n">
        <f aca="false">INDEX(Dados!G$1:G$112,17+36*(Painel!$Y$5-1))</f>
        <v>-15185</v>
      </c>
      <c r="H17" s="17" t="n">
        <f aca="false">INDEX(Dados!H$1:H$112,17+36*(Painel!$Y$5-1))</f>
        <v>-15000</v>
      </c>
      <c r="I17" s="17" t="n">
        <f aca="false">INDEX(Dados!I$1:I$112,17+36*(Painel!$Y$5-1))</f>
        <v>-3793</v>
      </c>
      <c r="J17" s="17" t="n">
        <f aca="false">INDEX(Dados!J$1:J$112,17+36*(Painel!$Y$5-1))</f>
        <v>-14882</v>
      </c>
      <c r="K17" s="17" t="n">
        <f aca="false">INDEX(Dados!K$1:K$112,17+36*(Painel!$Y$5-1))</f>
        <v>-15720</v>
      </c>
      <c r="L17" s="2" t="s">
        <v>142</v>
      </c>
    </row>
    <row r="18" customFormat="false" ht="15" hidden="false" customHeight="false" outlineLevel="0" collapsed="false">
      <c r="B18" s="15" t="s">
        <v>143</v>
      </c>
      <c r="C18" s="17" t="n">
        <f aca="false">INDEX(Dados!C$1:C$112,18+36*(Painel!$Y$5-1))</f>
        <v>25773.768</v>
      </c>
      <c r="D18" s="17" t="n">
        <f aca="false">INDEX(Dados!D$1:D$112,18+36*(Painel!$Y$5-1))</f>
        <v>-8696.04</v>
      </c>
      <c r="E18" s="17" t="n">
        <f aca="false">INDEX(Dados!E$1:E$112,18+36*(Painel!$Y$5-1))</f>
        <v>24902.341</v>
      </c>
      <c r="F18" s="17" t="n">
        <f aca="false">INDEX(Dados!F$1:F$112,18+36*(Painel!$Y$5-1))</f>
        <v>121343</v>
      </c>
      <c r="G18" s="17" t="n">
        <f aca="false">INDEX(Dados!G$1:G$112,18+36*(Painel!$Y$5-1))</f>
        <v>96337</v>
      </c>
      <c r="H18" s="17" t="n">
        <f aca="false">INDEX(Dados!H$1:H$112,18+36*(Painel!$Y$5-1))</f>
        <v>40554</v>
      </c>
      <c r="I18" s="17" t="n">
        <f aca="false">INDEX(Dados!I$1:I$112,18+36*(Painel!$Y$5-1))</f>
        <v>30431</v>
      </c>
      <c r="J18" s="17" t="n">
        <f aca="false">INDEX(Dados!J$1:J$112,18+36*(Painel!$Y$5-1))</f>
        <v>11811</v>
      </c>
      <c r="K18" s="17" t="n">
        <f aca="false">INDEX(Dados!K$1:K$112,18+36*(Painel!$Y$5-1))</f>
        <v>8691</v>
      </c>
      <c r="L18" s="2" t="s">
        <v>144</v>
      </c>
    </row>
    <row r="19" customFormat="false" ht="15" hidden="false" customHeight="false" outlineLevel="0" collapsed="false">
      <c r="B19" s="15" t="s">
        <v>145</v>
      </c>
      <c r="C19" s="17" t="n">
        <f aca="false">INDEX(Dados!C$1:C$112,19+36*(Painel!$Y$5-1))</f>
        <v>25656.526</v>
      </c>
      <c r="D19" s="17" t="n">
        <f aca="false">INDEX(Dados!D$1:D$112,19+36*(Painel!$Y$5-1))</f>
        <v>-6671.445</v>
      </c>
      <c r="E19" s="17" t="n">
        <f aca="false">INDEX(Dados!E$1:E$112,19+36*(Painel!$Y$5-1))</f>
        <v>26712.713</v>
      </c>
      <c r="F19" s="17" t="n">
        <f aca="false">INDEX(Dados!F$1:F$112,19+36*(Painel!$Y$5-1))</f>
        <v>121228</v>
      </c>
      <c r="G19" s="17" t="n">
        <f aca="false">INDEX(Dados!G$1:G$112,19+36*(Painel!$Y$5-1))</f>
        <v>95924</v>
      </c>
      <c r="H19" s="17" t="n">
        <f aca="false">INDEX(Dados!H$1:H$112,19+36*(Painel!$Y$5-1))</f>
        <v>39940</v>
      </c>
      <c r="I19" s="17" t="n">
        <f aca="false">INDEX(Dados!I$1:I$112,19+36*(Painel!$Y$5-1))</f>
        <v>31592</v>
      </c>
      <c r="J19" s="17" t="n">
        <f aca="false">INDEX(Dados!J$1:J$112,19+36*(Painel!$Y$5-1))</f>
        <v>13814</v>
      </c>
      <c r="K19" s="17" t="n">
        <f aca="false">INDEX(Dados!K$1:K$112,19+36*(Painel!$Y$5-1))</f>
        <v>10369</v>
      </c>
      <c r="L19" s="2" t="s">
        <v>146</v>
      </c>
    </row>
    <row r="20" customFormat="false" ht="15" hidden="false" customHeight="false" outlineLevel="0" collapsed="false">
      <c r="B20" s="26" t="s">
        <v>147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148</v>
      </c>
      <c r="C21" s="17" t="n">
        <f aca="false">INDEX(Dados!C$1:C$112,20+36*(Painel!$Y$5-1))</f>
        <v>12238.935</v>
      </c>
      <c r="D21" s="17" t="n">
        <f aca="false">INDEX(Dados!D$1:D$112,20+36*(Painel!$Y$5-1))</f>
        <v>14750.733</v>
      </c>
      <c r="E21" s="17" t="n">
        <f aca="false">INDEX(Dados!E$1:E$112,20+36*(Painel!$Y$5-1))</f>
        <v>16679.216</v>
      </c>
      <c r="F21" s="17" t="n">
        <f aca="false">INDEX(Dados!F$1:F$112,20+36*(Painel!$Y$5-1))</f>
        <v>16379</v>
      </c>
      <c r="G21" s="17" t="n">
        <f aca="false">INDEX(Dados!G$1:G$112,20+36*(Painel!$Y$5-1))</f>
        <v>16386</v>
      </c>
      <c r="H21" s="17" t="n">
        <f aca="false">INDEX(Dados!H$1:H$112,20+36*(Painel!$Y$5-1))</f>
        <v>15300</v>
      </c>
      <c r="I21" s="17" t="n">
        <f aca="false">INDEX(Dados!I$1:I$112,20+36*(Painel!$Y$5-1))</f>
        <v>16525</v>
      </c>
      <c r="J21" s="17" t="n">
        <f aca="false">INDEX(Dados!J$1:J$112,20+36*(Painel!$Y$5-1))</f>
        <v>17306</v>
      </c>
      <c r="K21" s="17" t="n">
        <f aca="false">INDEX(Dados!K$1:K$112,20+36*(Painel!$Y$5-1))</f>
        <v>17823</v>
      </c>
      <c r="L21" s="2" t="s">
        <v>149</v>
      </c>
    </row>
    <row r="22" customFormat="false" ht="15" hidden="false" customHeight="false" outlineLevel="0" collapsed="false">
      <c r="B22" s="15" t="s">
        <v>150</v>
      </c>
      <c r="C22" s="17" t="n">
        <f aca="false">INDEX(Dados!C$1:C$112,21+36*(Painel!$Y$5-1))</f>
        <v>47930.771</v>
      </c>
      <c r="D22" s="17" t="n">
        <f aca="false">INDEX(Dados!D$1:D$112,21+36*(Painel!$Y$5-1))</f>
        <v>47283.755</v>
      </c>
      <c r="E22" s="17" t="n">
        <f aca="false">INDEX(Dados!E$1:E$112,21+36*(Painel!$Y$5-1))</f>
        <v>75207.873</v>
      </c>
      <c r="F22" s="17" t="n">
        <f aca="false">INDEX(Dados!F$1:F$112,21+36*(Painel!$Y$5-1))</f>
        <v>136766</v>
      </c>
      <c r="G22" s="17" t="n">
        <f aca="false">INDEX(Dados!G$1:G$112,21+36*(Painel!$Y$5-1))</f>
        <v>58201</v>
      </c>
      <c r="H22" s="17" t="n">
        <f aca="false">INDEX(Dados!H$1:H$112,21+36*(Painel!$Y$5-1))</f>
        <v>65905</v>
      </c>
      <c r="I22" s="17" t="n">
        <f aca="false">INDEX(Dados!I$1:I$112,21+36*(Painel!$Y$5-1))</f>
        <v>50199</v>
      </c>
      <c r="J22" s="17" t="n">
        <f aca="false">INDEX(Dados!J$1:J$112,21+36*(Painel!$Y$5-1))</f>
        <v>48765</v>
      </c>
      <c r="K22" s="17" t="n">
        <f aca="false">INDEX(Dados!K$1:K$112,21+36*(Painel!$Y$5-1))</f>
        <v>50599</v>
      </c>
      <c r="L22" s="2" t="s">
        <v>151</v>
      </c>
    </row>
    <row r="23" customFormat="false" ht="15" hidden="false" customHeight="false" outlineLevel="0" collapsed="false">
      <c r="B23" s="15" t="s">
        <v>152</v>
      </c>
      <c r="C23" s="17" t="n">
        <f aca="false">INDEX(Dados!C$1:C$112,22+36*(Painel!$Y$5-1))</f>
        <v>13978.533</v>
      </c>
      <c r="D23" s="17" t="n">
        <f aca="false">INDEX(Dados!D$1:D$112,22+36*(Painel!$Y$5-1))</f>
        <v>14773.97</v>
      </c>
      <c r="E23" s="17" t="n">
        <f aca="false">INDEX(Dados!E$1:E$112,22+36*(Painel!$Y$5-1))</f>
        <v>22725.636</v>
      </c>
      <c r="F23" s="17" t="n">
        <f aca="false">INDEX(Dados!F$1:F$112,22+36*(Painel!$Y$5-1))</f>
        <v>27301</v>
      </c>
      <c r="G23" s="17" t="n">
        <f aca="false">INDEX(Dados!G$1:G$112,22+36*(Painel!$Y$5-1))</f>
        <v>28184</v>
      </c>
      <c r="H23" s="17" t="n">
        <f aca="false">INDEX(Dados!H$1:H$112,22+36*(Painel!$Y$5-1))</f>
        <v>29446</v>
      </c>
      <c r="I23" s="17" t="n">
        <f aca="false">INDEX(Dados!I$1:I$112,22+36*(Painel!$Y$5-1))</f>
        <v>35098</v>
      </c>
      <c r="J23" s="17" t="n">
        <f aca="false">INDEX(Dados!J$1:J$112,22+36*(Painel!$Y$5-1))</f>
        <v>33390</v>
      </c>
      <c r="K23" s="17" t="n">
        <f aca="false">INDEX(Dados!K$1:K$112,22+36*(Painel!$Y$5-1))</f>
        <v>31848</v>
      </c>
      <c r="L23" s="2" t="s">
        <v>153</v>
      </c>
    </row>
    <row r="24" customFormat="false" ht="15" hidden="false" customHeight="false" outlineLevel="0" collapsed="false">
      <c r="B24" s="15" t="s">
        <v>154</v>
      </c>
      <c r="C24" s="17" t="n">
        <f aca="false">INDEX(Dados!C$1:C$112,23+36*(Painel!$Y$5-1))</f>
        <v>13050.573</v>
      </c>
      <c r="D24" s="17" t="n">
        <f aca="false">INDEX(Dados!D$1:D$112,23+36*(Painel!$Y$5-1))</f>
        <v>695.071</v>
      </c>
      <c r="E24" s="17" t="n">
        <f aca="false">INDEX(Dados!E$1:E$112,23+36*(Painel!$Y$5-1))</f>
        <v>18708.953</v>
      </c>
      <c r="F24" s="17" t="n">
        <f aca="false">INDEX(Dados!F$1:F$112,23+36*(Painel!$Y$5-1))</f>
        <v>73287</v>
      </c>
      <c r="G24" s="17" t="n">
        <f aca="false">INDEX(Dados!G$1:G$112,23+36*(Painel!$Y$5-1))</f>
        <v>34157</v>
      </c>
      <c r="H24" s="17" t="n">
        <f aca="false">INDEX(Dados!H$1:H$112,23+36*(Painel!$Y$5-1))</f>
        <v>27967</v>
      </c>
      <c r="I24" s="17" t="n">
        <f aca="false">INDEX(Dados!I$1:I$112,23+36*(Painel!$Y$5-1))</f>
        <v>20663</v>
      </c>
      <c r="J24" s="17" t="n">
        <f aca="false">INDEX(Dados!J$1:J$112,23+36*(Painel!$Y$5-1))</f>
        <v>19971</v>
      </c>
      <c r="K24" s="17" t="n">
        <f aca="false">INDEX(Dados!K$1:K$112,23+36*(Painel!$Y$5-1))</f>
        <v>23071</v>
      </c>
      <c r="L24" s="2" t="s">
        <v>155</v>
      </c>
    </row>
    <row r="25" customFormat="false" ht="15" hidden="false" customHeight="false" outlineLevel="0" collapsed="false">
      <c r="B25" s="26" t="s">
        <v>156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157</v>
      </c>
      <c r="C26" s="17" t="n">
        <f aca="false">INDEX(Dados!C$1:C$112,24+36*(Painel!$Y$5-1))</f>
        <v>22412.547</v>
      </c>
      <c r="D26" s="17" t="n">
        <f aca="false">INDEX(Dados!D$1:D$112,24+36*(Painel!$Y$5-1))</f>
        <v>29627.092</v>
      </c>
      <c r="E26" s="17" t="n">
        <f aca="false">INDEX(Dados!E$1:E$112,24+36*(Painel!$Y$5-1))</f>
        <v>70085.566</v>
      </c>
      <c r="F26" s="17" t="n">
        <f aca="false">INDEX(Dados!F$1:F$112,24+36*(Painel!$Y$5-1))</f>
        <v>65409</v>
      </c>
      <c r="G26" s="17" t="n">
        <f aca="false">INDEX(Dados!G$1:G$112,24+36*(Painel!$Y$5-1))</f>
        <v>24711</v>
      </c>
      <c r="H26" s="17" t="n">
        <f aca="false">INDEX(Dados!H$1:H$112,24+36*(Painel!$Y$5-1))</f>
        <v>17474</v>
      </c>
      <c r="I26" s="17" t="n">
        <f aca="false">INDEX(Dados!I$1:I$112,24+36*(Painel!$Y$5-1))</f>
        <v>30671</v>
      </c>
      <c r="J26" s="17" t="n">
        <f aca="false">INDEX(Dados!J$1:J$112,24+36*(Painel!$Y$5-1))</f>
        <v>40563</v>
      </c>
      <c r="K26" s="17" t="n">
        <f aca="false">INDEX(Dados!K$1:K$112,24+36*(Painel!$Y$5-1))</f>
        <v>28871</v>
      </c>
      <c r="L26" s="2" t="s">
        <v>158</v>
      </c>
    </row>
    <row r="27" customFormat="false" ht="15" hidden="false" customHeight="false" outlineLevel="0" collapsed="false">
      <c r="B27" s="15" t="s">
        <v>159</v>
      </c>
      <c r="C27" s="17" t="n">
        <f aca="false">INDEX(Dados!C$1:C$112,25+36*(Painel!$Y$5-1))</f>
        <v>0</v>
      </c>
      <c r="D27" s="17" t="n">
        <f aca="false">INDEX(Dados!D$1:D$112,25+36*(Painel!$Y$5-1))</f>
        <v>0</v>
      </c>
      <c r="E27" s="17" t="n">
        <f aca="false">INDEX(Dados!E$1:E$112,25+36*(Painel!$Y$5-1))</f>
        <v>0</v>
      </c>
      <c r="F27" s="17" t="n">
        <f aca="false">INDEX(Dados!F$1:F$112,25+36*(Painel!$Y$5-1))</f>
        <v>1028</v>
      </c>
      <c r="G27" s="17" t="n">
        <f aca="false">INDEX(Dados!G$1:G$112,25+36*(Painel!$Y$5-1))</f>
        <v>320</v>
      </c>
      <c r="H27" s="17" t="n">
        <f aca="false">INDEX(Dados!H$1:H$112,25+36*(Painel!$Y$5-1))</f>
        <v>250</v>
      </c>
      <c r="I27" s="17" t="n">
        <f aca="false">INDEX(Dados!I$1:I$112,25+36*(Painel!$Y$5-1))</f>
        <v>331</v>
      </c>
      <c r="J27" s="17" t="n">
        <f aca="false">INDEX(Dados!J$1:J$112,25+36*(Painel!$Y$5-1))</f>
        <v>1066</v>
      </c>
      <c r="K27" s="17" t="n">
        <f aca="false">INDEX(Dados!K$1:K$112,25+36*(Painel!$Y$5-1))</f>
        <v>971</v>
      </c>
      <c r="L27" s="2" t="s">
        <v>160</v>
      </c>
    </row>
    <row r="28" customFormat="false" ht="15" hidden="false" customHeight="false" outlineLevel="0" collapsed="false">
      <c r="B28" s="15" t="s">
        <v>161</v>
      </c>
      <c r="C28" s="17" t="n">
        <f aca="false">INDEX(Dados!C$1:C$112,26+36*(Painel!$Y$5-1))</f>
        <v>11669.973</v>
      </c>
      <c r="D28" s="17" t="n">
        <f aca="false">INDEX(Dados!D$1:D$112,26+36*(Painel!$Y$5-1))</f>
        <v>11483.278</v>
      </c>
      <c r="E28" s="17" t="n">
        <f aca="false">INDEX(Dados!E$1:E$112,26+36*(Painel!$Y$5-1))</f>
        <v>27233.885</v>
      </c>
      <c r="F28" s="17" t="n">
        <f aca="false">INDEX(Dados!F$1:F$112,26+36*(Painel!$Y$5-1))</f>
        <v>21840</v>
      </c>
      <c r="G28" s="17" t="n">
        <f aca="false">INDEX(Dados!G$1:G$112,26+36*(Painel!$Y$5-1))</f>
        <v>22537</v>
      </c>
      <c r="H28" s="17" t="n">
        <f aca="false">INDEX(Dados!H$1:H$112,26+36*(Painel!$Y$5-1))</f>
        <v>20317</v>
      </c>
      <c r="I28" s="17" t="n">
        <f aca="false">INDEX(Dados!I$1:I$112,26+36*(Painel!$Y$5-1))</f>
        <v>14600</v>
      </c>
      <c r="J28" s="17" t="n">
        <f aca="false">INDEX(Dados!J$1:J$112,26+36*(Painel!$Y$5-1))</f>
        <v>12639</v>
      </c>
      <c r="K28" s="17" t="n">
        <f aca="false">INDEX(Dados!K$1:K$112,26+36*(Painel!$Y$5-1))</f>
        <v>13534</v>
      </c>
      <c r="L28" s="2" t="s">
        <v>162</v>
      </c>
    </row>
    <row r="29" customFormat="false" ht="15" hidden="false" customHeight="false" outlineLevel="0" collapsed="false">
      <c r="B29" s="15" t="s">
        <v>163</v>
      </c>
      <c r="C29" s="17" t="n">
        <f aca="false">INDEX(Dados!C$1:C$112,27+36*(Painel!$Y$5-1))</f>
        <v>17215.947</v>
      </c>
      <c r="D29" s="17" t="n">
        <f aca="false">INDEX(Dados!D$1:D$112,27+36*(Painel!$Y$5-1))</f>
        <v>17228.428</v>
      </c>
      <c r="E29" s="17" t="n">
        <f aca="false">INDEX(Dados!E$1:E$112,27+36*(Painel!$Y$5-1))</f>
        <v>21102.768</v>
      </c>
      <c r="F29" s="17" t="n">
        <f aca="false">INDEX(Dados!F$1:F$112,27+36*(Painel!$Y$5-1))</f>
        <v>24429</v>
      </c>
      <c r="G29" s="17" t="n">
        <f aca="false">INDEX(Dados!G$1:G$112,27+36*(Painel!$Y$5-1))</f>
        <v>23386</v>
      </c>
      <c r="H29" s="17" t="n">
        <f aca="false">INDEX(Dados!H$1:H$112,27+36*(Painel!$Y$5-1))</f>
        <v>22679</v>
      </c>
      <c r="I29" s="17" t="n">
        <f aca="false">INDEX(Dados!I$1:I$112,27+36*(Painel!$Y$5-1))</f>
        <v>28513</v>
      </c>
      <c r="J29" s="17" t="n">
        <f aca="false">INDEX(Dados!J$1:J$112,27+36*(Painel!$Y$5-1))</f>
        <v>32666</v>
      </c>
      <c r="K29" s="17" t="n">
        <f aca="false">INDEX(Dados!K$1:K$112,27+36*(Painel!$Y$5-1))</f>
        <v>32424</v>
      </c>
      <c r="L29" s="2" t="s">
        <v>164</v>
      </c>
    </row>
    <row r="30" customFormat="false" ht="15" hidden="false" customHeight="false" outlineLevel="0" collapsed="false">
      <c r="B30" s="15" t="s">
        <v>165</v>
      </c>
      <c r="C30" s="17" t="n">
        <f aca="false">INDEX(Dados!C$1:C$112,28+36*(Painel!$Y$5-1))</f>
        <v>59256.115</v>
      </c>
      <c r="D30" s="17" t="n">
        <f aca="false">INDEX(Dados!D$1:D$112,28+36*(Painel!$Y$5-1))</f>
        <v>68697.547</v>
      </c>
      <c r="E30" s="17" t="n">
        <f aca="false">INDEX(Dados!E$1:E$112,28+36*(Painel!$Y$5-1))</f>
        <v>126805.173</v>
      </c>
      <c r="F30" s="17" t="n">
        <f aca="false">INDEX(Dados!F$1:F$112,28+36*(Painel!$Y$5-1))</f>
        <v>124800</v>
      </c>
      <c r="G30" s="17" t="n">
        <f aca="false">INDEX(Dados!G$1:G$112,28+36*(Painel!$Y$5-1))</f>
        <v>81009</v>
      </c>
      <c r="H30" s="17" t="n">
        <f aca="false">INDEX(Dados!H$1:H$112,28+36*(Painel!$Y$5-1))</f>
        <v>90529</v>
      </c>
      <c r="I30" s="17" t="n">
        <f aca="false">INDEX(Dados!I$1:I$112,28+36*(Painel!$Y$5-1))</f>
        <v>83476</v>
      </c>
      <c r="J30" s="17" t="n">
        <f aca="false">INDEX(Dados!J$1:J$112,28+36*(Painel!$Y$5-1))</f>
        <v>100645</v>
      </c>
      <c r="K30" s="17" t="n">
        <f aca="false">INDEX(Dados!K$1:K$112,28+36*(Painel!$Y$5-1))</f>
        <v>91411</v>
      </c>
      <c r="L30" s="2" t="s">
        <v>166</v>
      </c>
    </row>
    <row r="31" customFormat="false" ht="15" hidden="false" customHeight="false" outlineLevel="0" collapsed="false">
      <c r="B31" s="15" t="s">
        <v>167</v>
      </c>
      <c r="C31" s="17" t="n">
        <f aca="false">INDEX(Dados!C$1:C$112,29+36*(Painel!$Y$5-1))</f>
        <v>12495.002</v>
      </c>
      <c r="D31" s="17" t="n">
        <f aca="false">INDEX(Dados!D$1:D$112,29+36*(Painel!$Y$5-1))</f>
        <v>11277.871</v>
      </c>
      <c r="E31" s="17" t="n">
        <f aca="false">INDEX(Dados!E$1:E$112,29+36*(Painel!$Y$5-1))</f>
        <v>10556.64</v>
      </c>
      <c r="F31" s="17" t="n">
        <f aca="false">INDEX(Dados!F$1:F$112,29+36*(Painel!$Y$5-1))</f>
        <v>9771</v>
      </c>
      <c r="G31" s="17" t="n">
        <f aca="false">INDEX(Dados!G$1:G$112,29+36*(Painel!$Y$5-1))</f>
        <v>9381</v>
      </c>
      <c r="H31" s="17" t="n">
        <f aca="false">INDEX(Dados!H$1:H$112,29+36*(Painel!$Y$5-1))</f>
        <v>9061</v>
      </c>
      <c r="I31" s="17" t="n">
        <f aca="false">INDEX(Dados!I$1:I$112,29+36*(Painel!$Y$5-1))</f>
        <v>28158</v>
      </c>
      <c r="J31" s="17" t="n">
        <f aca="false">INDEX(Dados!J$1:J$112,29+36*(Painel!$Y$5-1))</f>
        <v>27674</v>
      </c>
      <c r="K31" s="17" t="n">
        <f aca="false">INDEX(Dados!K$1:K$112,29+36*(Painel!$Y$5-1))</f>
        <v>27248</v>
      </c>
      <c r="L31" s="2" t="s">
        <v>168</v>
      </c>
    </row>
    <row r="32" customFormat="false" ht="15" hidden="false" customHeight="false" outlineLevel="0" collapsed="false">
      <c r="B32" s="15" t="s">
        <v>169</v>
      </c>
      <c r="C32" s="17" t="n">
        <f aca="false">INDEX(Dados!C$1:C$112,30+36*(Painel!$Y$5-1))</f>
        <v>187481.499</v>
      </c>
      <c r="D32" s="17" t="n">
        <f aca="false">INDEX(Dados!D$1:D$112,30+36*(Painel!$Y$5-1))</f>
        <v>187733.155</v>
      </c>
      <c r="E32" s="17" t="n">
        <f aca="false">INDEX(Dados!E$1:E$112,30+36*(Painel!$Y$5-1))</f>
        <v>213835.752</v>
      </c>
      <c r="F32" s="17" t="n">
        <f aca="false">INDEX(Dados!F$1:F$112,30+36*(Painel!$Y$5-1))</f>
        <v>233995</v>
      </c>
      <c r="G32" s="17" t="n">
        <f aca="false">INDEX(Dados!G$1:G$112,30+36*(Painel!$Y$5-1))</f>
        <v>234472</v>
      </c>
      <c r="H32" s="17" t="n">
        <f aca="false">INDEX(Dados!H$1:H$112,30+36*(Painel!$Y$5-1))</f>
        <v>234302</v>
      </c>
      <c r="I32" s="17" t="n">
        <f aca="false">INDEX(Dados!I$1:I$112,30+36*(Painel!$Y$5-1))</f>
        <v>247594</v>
      </c>
      <c r="J32" s="17" t="n">
        <f aca="false">INDEX(Dados!J$1:J$112,30+36*(Painel!$Y$5-1))</f>
        <v>240040</v>
      </c>
      <c r="K32" s="17" t="n">
        <f aca="false">INDEX(Dados!K$1:K$112,30+36*(Painel!$Y$5-1))</f>
        <v>240188</v>
      </c>
      <c r="L32" s="2" t="s">
        <v>170</v>
      </c>
    </row>
    <row r="33" customFormat="false" ht="15" hidden="false" customHeight="false" outlineLevel="0" collapsed="false">
      <c r="B33" s="15" t="s">
        <v>171</v>
      </c>
      <c r="C33" s="17" t="n">
        <f aca="false">INDEX(Dados!C$1:C$112,31+36*(Painel!$Y$5-1))</f>
        <v>30850.392</v>
      </c>
      <c r="D33" s="17" t="n">
        <f aca="false">INDEX(Dados!D$1:D$112,31+36*(Painel!$Y$5-1))</f>
        <v>34256.976</v>
      </c>
      <c r="E33" s="17" t="n">
        <f aca="false">INDEX(Dados!E$1:E$112,31+36*(Painel!$Y$5-1))</f>
        <v>48308.512</v>
      </c>
      <c r="F33" s="17" t="n">
        <f aca="false">INDEX(Dados!F$1:F$112,31+36*(Painel!$Y$5-1))</f>
        <v>50287</v>
      </c>
      <c r="G33" s="17" t="n">
        <f aca="false">INDEX(Dados!G$1:G$112,31+36*(Painel!$Y$5-1))</f>
        <v>53421</v>
      </c>
      <c r="H33" s="17" t="n">
        <f aca="false">INDEX(Dados!H$1:H$112,31+36*(Painel!$Y$5-1))</f>
        <v>56309</v>
      </c>
      <c r="I33" s="17" t="n">
        <f aca="false">INDEX(Dados!I$1:I$112,31+36*(Painel!$Y$5-1))</f>
        <v>65105</v>
      </c>
      <c r="J33" s="17" t="n">
        <f aca="false">INDEX(Dados!J$1:J$112,31+36*(Painel!$Y$5-1))</f>
        <v>49261</v>
      </c>
      <c r="K33" s="17" t="n">
        <f aca="false">INDEX(Dados!K$1:K$112,31+36*(Painel!$Y$5-1))</f>
        <v>48775</v>
      </c>
      <c r="L33" s="2" t="s">
        <v>172</v>
      </c>
    </row>
    <row r="34" customFormat="false" ht="15" hidden="false" customHeight="false" outlineLevel="0" collapsed="false">
      <c r="B34" s="15" t="s">
        <v>173</v>
      </c>
      <c r="C34" s="17" t="n">
        <f aca="false">INDEX(Dados!C$1:C$112,32+36*(Painel!$Y$5-1))</f>
        <v>341714.838</v>
      </c>
      <c r="D34" s="17" t="n">
        <f aca="false">INDEX(Dados!D$1:D$112,32+36*(Painel!$Y$5-1))</f>
        <v>369670.328</v>
      </c>
      <c r="E34" s="17" t="n">
        <f aca="false">INDEX(Dados!E$1:E$112,32+36*(Painel!$Y$5-1))</f>
        <v>478129.515</v>
      </c>
      <c r="F34" s="17" t="n">
        <f aca="false">INDEX(Dados!F$1:F$112,32+36*(Painel!$Y$5-1))</f>
        <v>499128</v>
      </c>
      <c r="G34" s="17" t="n">
        <f aca="false">INDEX(Dados!G$1:G$112,32+36*(Painel!$Y$5-1))</f>
        <v>453387</v>
      </c>
      <c r="H34" s="17" t="n">
        <f aca="false">INDEX(Dados!H$1:H$112,32+36*(Painel!$Y$5-1))</f>
        <v>455984</v>
      </c>
      <c r="I34" s="17" t="n">
        <f aca="false">INDEX(Dados!I$1:I$112,32+36*(Painel!$Y$5-1))</f>
        <v>496325</v>
      </c>
      <c r="J34" s="17" t="n">
        <f aca="false">INDEX(Dados!J$1:J$112,32+36*(Painel!$Y$5-1))</f>
        <v>476094</v>
      </c>
      <c r="K34" s="17" t="n">
        <f aca="false">INDEX(Dados!K$1:K$112,32+36*(Painel!$Y$5-1))</f>
        <v>462161</v>
      </c>
      <c r="L34" s="2" t="s">
        <v>174</v>
      </c>
    </row>
    <row r="35" customFormat="false" ht="15" hidden="false" customHeight="false" outlineLevel="0" collapsed="false">
      <c r="B35" s="15" t="s">
        <v>175</v>
      </c>
      <c r="C35" s="17" t="n">
        <f aca="false">INDEX(Dados!C$1:C$112,33+36*(Painel!$Y$5-1))</f>
        <v>13609.716</v>
      </c>
      <c r="D35" s="17" t="n">
        <f aca="false">INDEX(Dados!D$1:D$112,33+36*(Painel!$Y$5-1))</f>
        <v>16555.739</v>
      </c>
      <c r="E35" s="17" t="n">
        <f aca="false">INDEX(Dados!E$1:E$112,33+36*(Painel!$Y$5-1))</f>
        <v>17495.96</v>
      </c>
      <c r="F35" s="17" t="n">
        <f aca="false">INDEX(Dados!F$1:F$112,33+36*(Painel!$Y$5-1))</f>
        <v>19393</v>
      </c>
      <c r="G35" s="17" t="n">
        <f aca="false">INDEX(Dados!G$1:G$112,33+36*(Painel!$Y$5-1))</f>
        <v>23278</v>
      </c>
      <c r="H35" s="17" t="n">
        <f aca="false">INDEX(Dados!H$1:H$112,33+36*(Painel!$Y$5-1))</f>
        <v>25523</v>
      </c>
      <c r="I35" s="17" t="n">
        <f aca="false">INDEX(Dados!I$1:I$112,33+36*(Painel!$Y$5-1))</f>
        <v>26217</v>
      </c>
      <c r="J35" s="17" t="n">
        <f aca="false">INDEX(Dados!J$1:J$112,33+36*(Painel!$Y$5-1))</f>
        <v>30621</v>
      </c>
      <c r="K35" s="17" t="n">
        <f aca="false">INDEX(Dados!K$1:K$112,33+36*(Painel!$Y$5-1))</f>
        <v>32113</v>
      </c>
      <c r="L35" s="2" t="s">
        <v>176</v>
      </c>
    </row>
    <row r="36" customFormat="false" ht="15" hidden="false" customHeight="false" outlineLevel="0" collapsed="false">
      <c r="B36" s="15" t="s">
        <v>177</v>
      </c>
      <c r="C36" s="17" t="n">
        <f aca="false">INDEX(Dados!C$1:C$112,34+36*(Painel!$Y$5-1))</f>
        <v>3888.522</v>
      </c>
      <c r="D36" s="17" t="n">
        <f aca="false">INDEX(Dados!D$1:D$112,34+36*(Painel!$Y$5-1))</f>
        <v>5804.801</v>
      </c>
      <c r="E36" s="17" t="n">
        <f aca="false">INDEX(Dados!E$1:E$112,34+36*(Painel!$Y$5-1))</f>
        <v>5901.375</v>
      </c>
      <c r="F36" s="17" t="n">
        <f aca="false">INDEX(Dados!F$1:F$112,34+36*(Painel!$Y$5-1))</f>
        <v>6720</v>
      </c>
      <c r="G36" s="17" t="n">
        <f aca="false">INDEX(Dados!G$1:G$112,34+36*(Painel!$Y$5-1))</f>
        <v>2552</v>
      </c>
      <c r="H36" s="17" t="n">
        <f aca="false">INDEX(Dados!H$1:H$112,34+36*(Painel!$Y$5-1))</f>
        <v>4940</v>
      </c>
      <c r="I36" s="17" t="n">
        <f aca="false">INDEX(Dados!I$1:I$112,34+36*(Painel!$Y$5-1))</f>
        <v>7223</v>
      </c>
      <c r="J36" s="17" t="n">
        <f aca="false">INDEX(Dados!J$1:J$112,34+36*(Painel!$Y$5-1))</f>
        <v>3731</v>
      </c>
      <c r="K36" s="17" t="n">
        <f aca="false">INDEX(Dados!K$1:K$112,34+36*(Painel!$Y$5-1))</f>
        <v>6534</v>
      </c>
      <c r="L36" s="2" t="s">
        <v>178</v>
      </c>
    </row>
    <row r="37" customFormat="false" ht="15" hidden="false" customHeight="false" outlineLevel="0" collapsed="false">
      <c r="B37" s="15" t="s">
        <v>179</v>
      </c>
      <c r="C37" s="17" t="n">
        <f aca="false">INDEX(Dados!C$1:C$112,35+36*(Painel!$Y$5-1))</f>
        <v>35516.662</v>
      </c>
      <c r="D37" s="17" t="n">
        <f aca="false">INDEX(Dados!D$1:D$112,35+36*(Painel!$Y$5-1))</f>
        <v>55805.644</v>
      </c>
      <c r="E37" s="17" t="n">
        <f aca="false">INDEX(Dados!E$1:E$112,35+36*(Painel!$Y$5-1))</f>
        <v>75837.515</v>
      </c>
      <c r="F37" s="17" t="n">
        <f aca="false">INDEX(Dados!F$1:F$112,35+36*(Painel!$Y$5-1))</f>
        <v>84814</v>
      </c>
      <c r="G37" s="17" t="n">
        <f aca="false">INDEX(Dados!G$1:G$112,35+36*(Painel!$Y$5-1))</f>
        <v>72478</v>
      </c>
      <c r="H37" s="17" t="n">
        <f aca="false">INDEX(Dados!H$1:H$112,35+36*(Painel!$Y$5-1))</f>
        <v>70948</v>
      </c>
      <c r="I37" s="17" t="n">
        <f aca="false">INDEX(Dados!I$1:I$112,35+36*(Painel!$Y$5-1))</f>
        <v>81055</v>
      </c>
      <c r="J37" s="17" t="n">
        <f aca="false">INDEX(Dados!J$1:J$112,35+36*(Painel!$Y$5-1))</f>
        <v>87320</v>
      </c>
      <c r="K37" s="17" t="n">
        <f aca="false">INDEX(Dados!K$1:K$112,35+36*(Painel!$Y$5-1))</f>
        <v>76703</v>
      </c>
      <c r="L37" s="2" t="s">
        <v>180</v>
      </c>
    </row>
    <row r="38" customFormat="false" ht="15" hidden="false" customHeight="false" outlineLevel="0" collapsed="false">
      <c r="B38" s="15" t="s">
        <v>181</v>
      </c>
      <c r="C38" s="17" t="n">
        <f aca="false">INDEX(Dados!C$1:C$112,36+36*(Painel!$Y$5-1))</f>
        <v>56039.432</v>
      </c>
      <c r="D38" s="17" t="n">
        <f aca="false">INDEX(Dados!D$1:D$112,36+36*(Painel!$Y$5-1))</f>
        <v>54037.929</v>
      </c>
      <c r="E38" s="17" t="n">
        <f aca="false">INDEX(Dados!E$1:E$112,36+36*(Painel!$Y$5-1))</f>
        <v>72187.72</v>
      </c>
      <c r="F38" s="17" t="n">
        <f aca="false">INDEX(Dados!F$1:F$112,36+36*(Painel!$Y$5-1))</f>
        <v>70189</v>
      </c>
      <c r="G38" s="17" t="n">
        <f aca="false">INDEX(Dados!G$1:G$112,36+36*(Painel!$Y$5-1))</f>
        <v>63778</v>
      </c>
      <c r="H38" s="17" t="n">
        <f aca="false">INDEX(Dados!H$1:H$112,36+36*(Painel!$Y$5-1))</f>
        <v>62464</v>
      </c>
      <c r="I38" s="17" t="n">
        <f aca="false">INDEX(Dados!I$1:I$112,36+36*(Painel!$Y$5-1))</f>
        <v>88789</v>
      </c>
      <c r="J38" s="17" t="n">
        <f aca="false">INDEX(Dados!J$1:J$112,36+36*(Painel!$Y$5-1))</f>
        <v>99726</v>
      </c>
      <c r="K38" s="17" t="n">
        <f aca="false">INDEX(Dados!K$1:K$112,36+36*(Painel!$Y$5-1))</f>
        <v>91500</v>
      </c>
      <c r="L38" s="2" t="s">
        <v>182</v>
      </c>
    </row>
    <row r="39" customFormat="false" ht="15" hidden="false" customHeight="false" outlineLevel="0" collapsed="false">
      <c r="B39" s="15" t="s">
        <v>183</v>
      </c>
      <c r="C39" s="17" t="n">
        <f aca="false">INDEX(Dados!C$1:C$112,37+36*(Painel!$Y$5-1))</f>
        <v>173682.178</v>
      </c>
      <c r="D39" s="17" t="n">
        <f aca="false">INDEX(Dados!D$1:D$112,37+36*(Painel!$Y$5-1))</f>
        <v>157149.353</v>
      </c>
      <c r="E39" s="17" t="n">
        <f aca="false">INDEX(Dados!E$1:E$112,37+36*(Painel!$Y$5-1))</f>
        <v>180985.984</v>
      </c>
      <c r="F39" s="17" t="n">
        <f aca="false">INDEX(Dados!F$1:F$112,37+36*(Painel!$Y$5-1))</f>
        <v>197058</v>
      </c>
      <c r="G39" s="17" t="n">
        <f aca="false">INDEX(Dados!G$1:G$112,37+36*(Painel!$Y$5-1))</f>
        <v>194894</v>
      </c>
      <c r="H39" s="17" t="n">
        <f aca="false">INDEX(Dados!H$1:H$112,37+36*(Painel!$Y$5-1))</f>
        <v>198325</v>
      </c>
      <c r="I39" s="17" t="n">
        <f aca="false">INDEX(Dados!I$1:I$112,37+36*(Painel!$Y$5-1))</f>
        <v>213720</v>
      </c>
      <c r="J39" s="17" t="n">
        <f aca="false">INDEX(Dados!J$1:J$112,37+36*(Painel!$Y$5-1))</f>
        <v>188926</v>
      </c>
      <c r="K39" s="17" t="n">
        <f aca="false">INDEX(Dados!K$1:K$112,37+36*(Painel!$Y$5-1))</f>
        <v>201467</v>
      </c>
      <c r="L39" s="2" t="s">
        <v>184</v>
      </c>
    </row>
    <row r="40" customFormat="false" ht="15" hidden="false" customHeight="false" outlineLevel="0" collapsed="false">
      <c r="B40" s="15" t="s">
        <v>185</v>
      </c>
      <c r="C40" s="17" t="n">
        <f aca="false">INDEX(Dados!C$1:C$112,38+36*(Painel!$Y$5-1))</f>
        <v>3279.552</v>
      </c>
      <c r="D40" s="17" t="n">
        <f aca="false">INDEX(Dados!D$1:D$112,38+36*(Painel!$Y$5-1))</f>
        <v>-4330.947</v>
      </c>
      <c r="E40" s="17" t="n">
        <f aca="false">INDEX(Dados!E$1:E$112,38+36*(Painel!$Y$5-1))</f>
        <v>-4798.995</v>
      </c>
      <c r="F40" s="17" t="n">
        <f aca="false">INDEX(Dados!F$1:F$112,38+36*(Painel!$Y$5-1))</f>
        <v>4655</v>
      </c>
      <c r="G40" s="17" t="n">
        <f aca="false">INDEX(Dados!G$1:G$112,38+36*(Painel!$Y$5-1))</f>
        <v>7782</v>
      </c>
      <c r="H40" s="17" t="n">
        <f aca="false">INDEX(Dados!H$1:H$112,38+36*(Painel!$Y$5-1))</f>
        <v>7360</v>
      </c>
      <c r="I40" s="17" t="n">
        <f aca="false">INDEX(Dados!I$1:I$112,38+36*(Painel!$Y$5-1))</f>
        <v>6948</v>
      </c>
      <c r="J40" s="17" t="n">
        <f aca="false">INDEX(Dados!J$1:J$112,38+36*(Painel!$Y$5-1))</f>
        <v>4627</v>
      </c>
      <c r="K40" s="17" t="n">
        <f aca="false">INDEX(Dados!K$1:K$112,38+36*(Painel!$Y$5-1))</f>
        <v>4832</v>
      </c>
      <c r="L40" s="2" t="s">
        <v>186</v>
      </c>
    </row>
    <row r="42" customFormat="false" ht="15" hidden="false" customHeight="false" outlineLevel="0" collapsed="false">
      <c r="B42" s="8" t="s">
        <v>187</v>
      </c>
      <c r="C42" s="9" t="s">
        <v>109</v>
      </c>
      <c r="D42" s="9" t="s">
        <v>110</v>
      </c>
      <c r="E42" s="9" t="s">
        <v>111</v>
      </c>
      <c r="F42" s="9" t="s">
        <v>112</v>
      </c>
      <c r="G42" s="9" t="s">
        <v>113</v>
      </c>
      <c r="H42" s="9" t="s">
        <v>114</v>
      </c>
      <c r="I42" s="9" t="s">
        <v>115</v>
      </c>
      <c r="J42" s="9" t="s">
        <v>116</v>
      </c>
      <c r="K42" s="9" t="s">
        <v>117</v>
      </c>
      <c r="L42" s="8" t="s">
        <v>188</v>
      </c>
    </row>
    <row r="43" customFormat="false" ht="15" hidden="false" customHeight="false" outlineLevel="0" collapsed="false">
      <c r="B43" s="15" t="s">
        <v>189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190</v>
      </c>
    </row>
    <row r="44" customFormat="false" ht="15" hidden="false" customHeight="false" outlineLevel="0" collapsed="false">
      <c r="B44" s="15" t="s">
        <v>191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192</v>
      </c>
    </row>
    <row r="45" customFormat="false" ht="15" hidden="false" customHeight="false" outlineLevel="0" collapsed="false">
      <c r="B45" s="15" t="s">
        <v>193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194</v>
      </c>
    </row>
    <row r="46" customFormat="false" ht="15" hidden="false" customHeight="false" outlineLevel="0" collapsed="false">
      <c r="B46" s="15" t="s">
        <v>195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196</v>
      </c>
    </row>
    <row r="47" customFormat="false" ht="15" hidden="false" customHeight="false" outlineLevel="0" collapsed="false">
      <c r="B47" s="15" t="s">
        <v>197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198</v>
      </c>
    </row>
    <row r="48" customFormat="false" ht="15" hidden="false" customHeight="false" outlineLevel="0" collapsed="false">
      <c r="B48" s="15" t="s">
        <v>199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200</v>
      </c>
    </row>
    <row r="49" customFormat="false" ht="15" hidden="false" customHeight="false" outlineLevel="0" collapsed="false">
      <c r="B49" s="15" t="s">
        <v>201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202</v>
      </c>
    </row>
    <row r="50" customFormat="false" ht="15" hidden="false" customHeight="false" outlineLevel="0" collapsed="false">
      <c r="B50" s="15" t="s">
        <v>203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204</v>
      </c>
    </row>
    <row r="51" customFormat="false" ht="15" hidden="false" customHeight="false" outlineLevel="0" collapsed="false">
      <c r="B51" s="15" t="s">
        <v>205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206</v>
      </c>
    </row>
    <row r="52" customFormat="false" ht="15" hidden="false" customHeight="false" outlineLevel="0" collapsed="false">
      <c r="B52" s="15" t="s">
        <v>207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208</v>
      </c>
    </row>
    <row r="53" customFormat="false" ht="15" hidden="false" customHeight="false" outlineLevel="0" collapsed="false">
      <c r="B53" s="15" t="s">
        <v>209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210</v>
      </c>
    </row>
    <row r="54" customFormat="false" ht="15" hidden="false" customHeight="false" outlineLevel="0" collapsed="false">
      <c r="B54" s="15" t="s">
        <v>211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212</v>
      </c>
    </row>
    <row r="55" customFormat="false" ht="15" hidden="false" customHeight="false" outlineLevel="0" collapsed="false">
      <c r="B55" s="15" t="s">
        <v>213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214</v>
      </c>
    </row>
    <row r="56" customFormat="false" ht="15" hidden="false" customHeight="false" outlineLevel="0" collapsed="false">
      <c r="B56" s="15" t="s">
        <v>215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216</v>
      </c>
    </row>
    <row r="57" customFormat="false" ht="15" hidden="false" customHeight="false" outlineLevel="0" collapsed="false">
      <c r="B57" s="15" t="s">
        <v>217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218</v>
      </c>
    </row>
    <row r="58" customFormat="false" ht="15" hidden="false" customHeight="false" outlineLevel="0" collapsed="false">
      <c r="B58" s="15" t="s">
        <v>219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220</v>
      </c>
    </row>
    <row r="59" customFormat="false" ht="15" hidden="false" customHeight="false" outlineLevel="0" collapsed="false">
      <c r="B59" s="15" t="s">
        <v>221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222</v>
      </c>
    </row>
    <row r="60" customFormat="false" ht="15" hidden="false" customHeight="false" outlineLevel="0" collapsed="false">
      <c r="B60" s="15" t="s">
        <v>223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224</v>
      </c>
    </row>
    <row r="61" customFormat="false" ht="15" hidden="false" customHeight="false" outlineLevel="0" collapsed="false">
      <c r="B61" s="15" t="s">
        <v>225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226</v>
      </c>
    </row>
    <row r="62" customFormat="false" ht="15" hidden="false" customHeight="false" outlineLevel="0" collapsed="false">
      <c r="B62" s="15" t="s">
        <v>227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228</v>
      </c>
    </row>
    <row r="63" customFormat="false" ht="15" hidden="false" customHeight="false" outlineLevel="0" collapsed="false">
      <c r="B63" s="15" t="s">
        <v>229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230</v>
      </c>
    </row>
    <row r="64" customFormat="false" ht="15" hidden="false" customHeight="false" outlineLevel="0" collapsed="false">
      <c r="B64" s="15" t="s">
        <v>231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232</v>
      </c>
    </row>
    <row r="65" customFormat="false" ht="15" hidden="false" customHeight="false" outlineLevel="0" collapsed="false">
      <c r="B65" s="15" t="s">
        <v>233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234</v>
      </c>
    </row>
    <row r="66" customFormat="false" ht="15" hidden="false" customHeight="false" outlineLevel="0" collapsed="false">
      <c r="B66" s="15" t="s">
        <v>235</v>
      </c>
      <c r="C66" s="29" t="n">
        <f aca="false">C65/C43</f>
        <v>0.676994032573932</v>
      </c>
      <c r="D66" s="29" t="n">
        <f aca="false">D65/D43</f>
        <v>1.77838343621038</v>
      </c>
      <c r="E66" s="29" t="n">
        <f aca="false">E65/E43</f>
        <v>0.116420328534693</v>
      </c>
      <c r="F66" s="29" t="n">
        <f aca="false">F65/F43</f>
        <v>0.0663986710120852</v>
      </c>
      <c r="G66" s="29" t="n">
        <f aca="false">G65/G43</f>
        <v>0.387013644201215</v>
      </c>
      <c r="H66" s="29" t="n">
        <f aca="false">H65/H43</f>
        <v>0.616591371692399</v>
      </c>
      <c r="I66" s="29" t="n">
        <f aca="false">I65/I43</f>
        <v>0.903117359413203</v>
      </c>
      <c r="J66" s="29" t="n">
        <f aca="false">J65/J43</f>
        <v>1.25475393201421</v>
      </c>
      <c r="K66" s="29" t="n">
        <f aca="false">K65/K43</f>
        <v>1.31307646390542</v>
      </c>
      <c r="L66" s="2" t="s">
        <v>236</v>
      </c>
    </row>
    <row r="67" customFormat="false" ht="15" hidden="false" customHeight="false" outlineLevel="0" collapsed="false">
      <c r="B67" s="15" t="s">
        <v>237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238</v>
      </c>
    </row>
    <row r="68" customFormat="false" ht="15" hidden="false" customHeight="false" outlineLevel="0" collapsed="false">
      <c r="B68" s="15" t="s">
        <v>239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240</v>
      </c>
    </row>
    <row r="69" customFormat="false" ht="15" hidden="false" customHeight="false" outlineLevel="0" collapsed="false">
      <c r="B69" s="15" t="s">
        <v>241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242</v>
      </c>
    </row>
    <row r="70" customFormat="false" ht="15" hidden="false" customHeight="false" outlineLevel="0" collapsed="false">
      <c r="B70" s="15" t="s">
        <v>243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245</v>
      </c>
    </row>
    <row r="4" customFormat="false" ht="15" hidden="false" customHeight="false" outlineLevel="0" collapsed="false">
      <c r="B4" s="8" t="s">
        <v>108</v>
      </c>
      <c r="C4" s="9" t="n">
        <v>2025</v>
      </c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251</v>
      </c>
    </row>
    <row r="5" customFormat="false" ht="15" hidden="false" customHeight="false" outlineLevel="0" collapsed="false">
      <c r="B5" s="26" t="s">
        <v>252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199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253</v>
      </c>
    </row>
    <row r="7" customFormat="false" ht="15" hidden="false" customHeight="false" outlineLevel="0" collapsed="false">
      <c r="B7" s="15" t="s">
        <v>203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254</v>
      </c>
    </row>
    <row r="9" customFormat="false" ht="15" hidden="false" customHeight="false" outlineLevel="0" collapsed="false">
      <c r="B9" s="26" t="s">
        <v>118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119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255</v>
      </c>
    </row>
    <row r="11" customFormat="false" ht="15" hidden="false" customHeight="false" outlineLevel="0" collapsed="false">
      <c r="B11" s="15" t="s">
        <v>256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257</v>
      </c>
    </row>
    <row r="12" customFormat="false" ht="15" hidden="false" customHeight="false" outlineLevel="0" collapsed="false">
      <c r="B12" s="15" t="s">
        <v>258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259</v>
      </c>
    </row>
    <row r="13" customFormat="false" ht="15" hidden="false" customHeight="false" outlineLevel="0" collapsed="false">
      <c r="B13" s="15" t="s">
        <v>260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261</v>
      </c>
    </row>
    <row r="14" customFormat="false" ht="15" hidden="false" customHeight="false" outlineLevel="0" collapsed="false">
      <c r="B14" s="4" t="s">
        <v>262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263</v>
      </c>
    </row>
    <row r="15" customFormat="false" ht="15" hidden="false" customHeight="false" outlineLevel="0" collapsed="false">
      <c r="B15" s="15" t="s">
        <v>264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265</v>
      </c>
    </row>
    <row r="16" customFormat="false" ht="15" hidden="false" customHeight="false" outlineLevel="0" collapsed="false">
      <c r="B16" s="4" t="s">
        <v>266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267</v>
      </c>
    </row>
    <row r="17" customFormat="false" ht="15" hidden="false" customHeight="false" outlineLevel="0" collapsed="false">
      <c r="B17" s="15" t="s">
        <v>268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269</v>
      </c>
    </row>
    <row r="18" customFormat="false" ht="15" hidden="false" customHeight="false" outlineLevel="0" collapsed="false">
      <c r="B18" s="15" t="s">
        <v>270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271</v>
      </c>
    </row>
    <row r="19" customFormat="false" ht="15" hidden="false" customHeight="false" outlineLevel="0" collapsed="false">
      <c r="B19" s="15" t="s">
        <v>272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273</v>
      </c>
    </row>
    <row r="20" customFormat="false" ht="15" hidden="false" customHeight="false" outlineLevel="0" collapsed="false">
      <c r="B20" s="15" t="s">
        <v>139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274</v>
      </c>
    </row>
    <row r="21" customFormat="false" ht="15" hidden="false" customHeight="false" outlineLevel="0" collapsed="false">
      <c r="B21" s="15" t="s">
        <v>275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276</v>
      </c>
    </row>
    <row r="22" customFormat="false" ht="15" hidden="false" customHeight="false" outlineLevel="0" collapsed="false">
      <c r="B22" s="4" t="s">
        <v>277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278</v>
      </c>
    </row>
    <row r="24" customFormat="false" ht="15" hidden="false" customHeight="false" outlineLevel="0" collapsed="false">
      <c r="B24" s="26" t="s">
        <v>279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280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281</v>
      </c>
    </row>
    <row r="26" customFormat="false" ht="15" hidden="false" customHeight="false" outlineLevel="0" collapsed="false">
      <c r="B26" s="15" t="s">
        <v>213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282</v>
      </c>
    </row>
    <row r="27" customFormat="false" ht="15" hidden="false" customHeight="false" outlineLevel="0" collapsed="false">
      <c r="B27" s="15" t="s">
        <v>161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283</v>
      </c>
    </row>
    <row r="28" customFormat="false" ht="15" hidden="false" customHeight="false" outlineLevel="0" collapsed="false">
      <c r="B28" s="15" t="s">
        <v>163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284</v>
      </c>
    </row>
    <row r="29" customFormat="false" ht="15" hidden="false" customHeight="false" outlineLevel="0" collapsed="false">
      <c r="B29" s="15" t="s">
        <v>175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285</v>
      </c>
    </row>
    <row r="30" customFormat="false" ht="15" hidden="false" customHeight="false" outlineLevel="0" collapsed="false">
      <c r="B30" s="4" t="s">
        <v>286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287</v>
      </c>
    </row>
    <row r="31" customFormat="false" ht="15" hidden="false" customHeight="false" outlineLevel="0" collapsed="false">
      <c r="B31" s="15" t="s">
        <v>288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289</v>
      </c>
    </row>
    <row r="33" customFormat="false" ht="15" hidden="false" customHeight="false" outlineLevel="0" collapsed="false">
      <c r="B33" s="26" t="s">
        <v>290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291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292</v>
      </c>
    </row>
    <row r="35" customFormat="false" ht="15" hidden="false" customHeight="false" outlineLevel="0" collapsed="false">
      <c r="B35" s="15" t="s">
        <v>293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294</v>
      </c>
    </row>
    <row r="37" customFormat="false" ht="15" hidden="false" customHeight="false" outlineLevel="0" collapsed="false">
      <c r="B37" s="26" t="s">
        <v>295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229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296</v>
      </c>
    </row>
    <row r="39" customFormat="false" ht="15" hidden="false" customHeight="false" outlineLevel="0" collapsed="false">
      <c r="B39" s="15" t="s">
        <v>167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297</v>
      </c>
    </row>
    <row r="40" customFormat="false" ht="15" hidden="false" customHeight="false" outlineLevel="0" collapsed="false">
      <c r="B40" s="15" t="s">
        <v>298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299</v>
      </c>
    </row>
    <row r="41" customFormat="false" ht="15" hidden="false" customHeight="false" outlineLevel="0" collapsed="false">
      <c r="B41" s="4" t="s">
        <v>173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300</v>
      </c>
    </row>
    <row r="42" customFormat="false" ht="15" hidden="false" customHeight="false" outlineLevel="0" collapsed="false">
      <c r="B42" s="15" t="s">
        <v>231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301</v>
      </c>
    </row>
    <row r="43" customFormat="false" ht="15" hidden="false" customHeight="false" outlineLevel="0" collapsed="false">
      <c r="B43" s="15" t="s">
        <v>302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299</v>
      </c>
    </row>
    <row r="44" customFormat="false" ht="15" hidden="false" customHeight="false" outlineLevel="0" collapsed="false">
      <c r="B44" s="15" t="s">
        <v>303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304</v>
      </c>
    </row>
    <row r="45" customFormat="false" ht="15" hidden="false" customHeight="false" outlineLevel="0" collapsed="false">
      <c r="B45" s="4" t="s">
        <v>305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306</v>
      </c>
    </row>
    <row r="46" customFormat="false" ht="15" hidden="false" customHeight="false" outlineLevel="0" collapsed="false">
      <c r="B46" s="15" t="s">
        <v>307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308</v>
      </c>
    </row>
    <row r="48" customFormat="false" ht="15" hidden="false" customHeight="false" outlineLevel="0" collapsed="false">
      <c r="B48" s="26" t="s">
        <v>309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207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310</v>
      </c>
    </row>
    <row r="50" customFormat="false" ht="15" hidden="false" customHeight="false" outlineLevel="0" collapsed="false">
      <c r="B50" s="15" t="s">
        <v>233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311</v>
      </c>
    </row>
    <row r="51" customFormat="false" ht="15" hidden="false" customHeight="false" outlineLevel="0" collapsed="false">
      <c r="B51" s="15" t="s">
        <v>235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312</v>
      </c>
    </row>
    <row r="52" customFormat="false" ht="15" hidden="false" customHeight="false" outlineLevel="0" collapsed="false">
      <c r="B52" s="15" t="s">
        <v>313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315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316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266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317</v>
      </c>
    </row>
    <row r="7" customFormat="false" ht="15" hidden="false" customHeight="false" outlineLevel="0" collapsed="false">
      <c r="B7" s="15" t="s">
        <v>318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319</v>
      </c>
    </row>
    <row r="8" customFormat="false" ht="15" hidden="false" customHeight="false" outlineLevel="0" collapsed="false">
      <c r="B8" s="15" t="s">
        <v>320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321</v>
      </c>
    </row>
    <row r="9" customFormat="false" ht="15" hidden="false" customHeight="false" outlineLevel="0" collapsed="false">
      <c r="B9" s="4" t="s">
        <v>322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323</v>
      </c>
    </row>
    <row r="10" customFormat="false" ht="15" hidden="false" customHeight="false" outlineLevel="0" collapsed="false">
      <c r="B10" s="15" t="s">
        <v>324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325</v>
      </c>
    </row>
    <row r="11" customFormat="false" ht="15" hidden="false" customHeight="false" outlineLevel="0" collapsed="false">
      <c r="B11" s="15" t="s">
        <v>326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327</v>
      </c>
    </row>
    <row r="12" customFormat="false" ht="15" hidden="false" customHeight="false" outlineLevel="0" collapsed="false">
      <c r="B12" s="15" t="s">
        <v>328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329</v>
      </c>
    </row>
    <row r="13" customFormat="false" ht="15" hidden="false" customHeight="false" outlineLevel="0" collapsed="false">
      <c r="B13" s="4" t="s">
        <v>330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331</v>
      </c>
    </row>
    <row r="15" customFormat="false" ht="15" hidden="false" customHeight="false" outlineLevel="0" collapsed="false">
      <c r="B15" s="26" t="s">
        <v>332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277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333</v>
      </c>
    </row>
    <row r="17" customFormat="false" ht="15" hidden="false" customHeight="false" outlineLevel="0" collapsed="false">
      <c r="B17" s="15" t="s">
        <v>318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319</v>
      </c>
    </row>
    <row r="18" customFormat="false" ht="15" hidden="false" customHeight="false" outlineLevel="0" collapsed="false">
      <c r="B18" s="15" t="s">
        <v>324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325</v>
      </c>
    </row>
    <row r="19" customFormat="false" ht="15" hidden="false" customHeight="false" outlineLevel="0" collapsed="false">
      <c r="B19" s="15" t="s">
        <v>326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327</v>
      </c>
    </row>
    <row r="20" customFormat="false" ht="15" hidden="false" customHeight="false" outlineLevel="0" collapsed="false">
      <c r="B20" s="15" t="s">
        <v>328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329</v>
      </c>
    </row>
    <row r="21" customFormat="false" ht="15" hidden="false" customHeight="false" outlineLevel="0" collapsed="false">
      <c r="B21" s="15" t="s">
        <v>334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335</v>
      </c>
    </row>
    <row r="22" customFormat="false" ht="15" hidden="false" customHeight="false" outlineLevel="0" collapsed="false">
      <c r="B22" s="4" t="s">
        <v>336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337</v>
      </c>
    </row>
    <row r="24" customFormat="false" ht="15" hidden="false" customHeight="false" outlineLevel="0" collapsed="false">
      <c r="B24" s="26" t="s">
        <v>338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339</v>
      </c>
      <c r="D25" s="17" t="n">
        <f aca="false">Premissas!$D$32*H10</f>
        <v>19992.8602378074</v>
      </c>
      <c r="I25" s="2" t="s">
        <v>340</v>
      </c>
    </row>
    <row r="26" customFormat="false" ht="15" hidden="false" customHeight="false" outlineLevel="0" collapsed="false">
      <c r="B26" s="4" t="s">
        <v>341</v>
      </c>
      <c r="D26" s="31" t="n">
        <f aca="false">H9+H10-D25-H12</f>
        <v>52965.9193304327</v>
      </c>
      <c r="I26" s="2" t="s">
        <v>342</v>
      </c>
    </row>
    <row r="27" customFormat="false" ht="15" hidden="false" customHeight="false" outlineLevel="0" collapsed="false">
      <c r="B27" s="15" t="s">
        <v>343</v>
      </c>
      <c r="D27" s="17" t="n">
        <f aca="false">H16-H17+H18-D25-H20+H21</f>
        <v>46065.4322105305</v>
      </c>
      <c r="I27" s="2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345</v>
      </c>
    </row>
    <row r="4" customFormat="false" ht="15" hidden="false" customHeight="false" outlineLevel="0" collapsed="false">
      <c r="B4" s="8" t="s">
        <v>346</v>
      </c>
      <c r="C4" s="9"/>
      <c r="D4" s="9" t="s">
        <v>22</v>
      </c>
      <c r="E4" s="8" t="s">
        <v>188</v>
      </c>
    </row>
    <row r="5" customFormat="false" ht="15" hidden="false" customHeight="false" outlineLevel="0" collapsed="false">
      <c r="B5" s="15" t="s">
        <v>347</v>
      </c>
      <c r="D5" s="18" t="n">
        <f aca="false">Premissas!$D$26</f>
        <v>0.1291</v>
      </c>
      <c r="E5" s="2" t="s">
        <v>348</v>
      </c>
    </row>
    <row r="6" customFormat="false" ht="15" hidden="false" customHeight="false" outlineLevel="0" collapsed="false">
      <c r="B6" s="15" t="s">
        <v>349</v>
      </c>
      <c r="D6" s="30" t="n">
        <f aca="false">Premissas!$D$27</f>
        <v>0.7558</v>
      </c>
      <c r="E6" s="2" t="s">
        <v>350</v>
      </c>
    </row>
    <row r="7" customFormat="false" ht="15" hidden="false" customHeight="false" outlineLevel="0" collapsed="false">
      <c r="B7" s="15" t="s">
        <v>351</v>
      </c>
      <c r="D7" s="18" t="n">
        <f aca="false">Premissas!$D$28</f>
        <v>0.0423</v>
      </c>
      <c r="E7" s="2" t="s">
        <v>352</v>
      </c>
    </row>
    <row r="8" customFormat="false" ht="15" hidden="false" customHeight="false" outlineLevel="0" collapsed="false">
      <c r="B8" s="15" t="s">
        <v>353</v>
      </c>
      <c r="D8" s="18" t="n">
        <f aca="false">Premissas!$D$29</f>
        <v>0</v>
      </c>
      <c r="E8" s="2" t="s">
        <v>354</v>
      </c>
    </row>
    <row r="9" customFormat="false" ht="15" hidden="false" customHeight="false" outlineLevel="0" collapsed="false">
      <c r="B9" s="4" t="s">
        <v>355</v>
      </c>
      <c r="D9" s="32" t="n">
        <f aca="false">D5+D6*D7+D8</f>
        <v>0.16107034</v>
      </c>
      <c r="E9" s="2" t="s">
        <v>356</v>
      </c>
    </row>
    <row r="11" customFormat="false" ht="15" hidden="false" customHeight="false" outlineLevel="0" collapsed="false">
      <c r="B11" s="8" t="s">
        <v>357</v>
      </c>
      <c r="C11" s="9"/>
      <c r="D11" s="9" t="s">
        <v>22</v>
      </c>
      <c r="E11" s="8" t="s">
        <v>188</v>
      </c>
    </row>
    <row r="12" customFormat="false" ht="15" hidden="false" customHeight="false" outlineLevel="0" collapsed="false">
      <c r="B12" s="15" t="s">
        <v>358</v>
      </c>
      <c r="D12" s="18" t="n">
        <f aca="false">Premissas!$D$23</f>
        <v>0.1291</v>
      </c>
      <c r="E12" s="2" t="s">
        <v>359</v>
      </c>
    </row>
    <row r="13" customFormat="false" ht="15" hidden="false" customHeight="false" outlineLevel="0" collapsed="false">
      <c r="B13" s="15" t="s">
        <v>360</v>
      </c>
      <c r="D13" s="18" t="n">
        <f aca="false">Premissas!$D$22</f>
        <v>0.34</v>
      </c>
      <c r="E13" s="2" t="s">
        <v>361</v>
      </c>
    </row>
    <row r="14" customFormat="false" ht="15" hidden="false" customHeight="false" outlineLevel="0" collapsed="false">
      <c r="B14" s="4" t="s">
        <v>362</v>
      </c>
      <c r="D14" s="32" t="n">
        <f aca="false">D12*(1-D13)</f>
        <v>0.085206</v>
      </c>
      <c r="E14" s="2" t="s">
        <v>363</v>
      </c>
    </row>
    <row r="16" customFormat="false" ht="15" hidden="false" customHeight="false" outlineLevel="0" collapsed="false">
      <c r="B16" s="8" t="s">
        <v>364</v>
      </c>
      <c r="C16" s="9"/>
      <c r="D16" s="9" t="s">
        <v>22</v>
      </c>
      <c r="E16" s="8" t="s">
        <v>188</v>
      </c>
    </row>
    <row r="17" customFormat="false" ht="15" hidden="false" customHeight="false" outlineLevel="0" collapsed="false">
      <c r="B17" s="15" t="s">
        <v>69</v>
      </c>
      <c r="D17" s="18" t="n">
        <f aca="false">Premissas!$D$30</f>
        <v>0.2625</v>
      </c>
      <c r="E17" s="2" t="s">
        <v>365</v>
      </c>
    </row>
    <row r="18" customFormat="false" ht="15" hidden="false" customHeight="false" outlineLevel="0" collapsed="false">
      <c r="B18" s="15" t="s">
        <v>366</v>
      </c>
      <c r="D18" s="18" t="n">
        <f aca="false">1-D17</f>
        <v>0.7375</v>
      </c>
      <c r="E18" s="2" t="s">
        <v>367</v>
      </c>
    </row>
    <row r="19" customFormat="false" ht="15" hidden="false" customHeight="false" outlineLevel="0" collapsed="false">
      <c r="B19" s="4" t="s">
        <v>368</v>
      </c>
      <c r="D19" s="32" t="n">
        <f aca="false">D9*D18+D14*D17</f>
        <v>0.14115595075</v>
      </c>
      <c r="E19" s="2" t="s">
        <v>369</v>
      </c>
    </row>
    <row r="21" customFormat="false" ht="15" hidden="false" customHeight="false" outlineLevel="0" collapsed="false">
      <c r="B21" s="8" t="s">
        <v>370</v>
      </c>
      <c r="C21" s="9"/>
      <c r="D21" s="9" t="s">
        <v>22</v>
      </c>
      <c r="E21" s="8" t="s">
        <v>188</v>
      </c>
    </row>
    <row r="22" customFormat="false" ht="15" hidden="false" customHeight="false" outlineLevel="0" collapsed="false">
      <c r="B22" s="4" t="s">
        <v>371</v>
      </c>
      <c r="D22" s="22" t="n">
        <f aca="false">Painel!$C$12</f>
        <v>0.14115595075</v>
      </c>
      <c r="E22" s="2" t="s">
        <v>372</v>
      </c>
    </row>
    <row r="23" customFormat="false" ht="15" hidden="false" customHeight="false" outlineLevel="0" collapsed="false">
      <c r="B23" s="15" t="s">
        <v>373</v>
      </c>
      <c r="D23" s="18" t="n">
        <f aca="false">D22-D19</f>
        <v>0</v>
      </c>
      <c r="E23" s="2" t="s">
        <v>374</v>
      </c>
    </row>
    <row r="24" customFormat="false" ht="15" hidden="false" customHeight="false" outlineLevel="0" collapsed="false">
      <c r="B24" s="15" t="s">
        <v>375</v>
      </c>
      <c r="D24" s="18" t="n">
        <f aca="false">D9+D23</f>
        <v>0.16107034</v>
      </c>
      <c r="E24" s="2" t="s">
        <v>376</v>
      </c>
    </row>
    <row r="26" customFormat="false" ht="15" hidden="false" customHeight="false" outlineLevel="0" collapsed="false">
      <c r="B26" s="8" t="s">
        <v>377</v>
      </c>
      <c r="C26" s="9"/>
      <c r="D26" s="9" t="s">
        <v>22</v>
      </c>
      <c r="E26" s="8" t="s">
        <v>188</v>
      </c>
    </row>
    <row r="27" customFormat="false" ht="15" hidden="false" customHeight="false" outlineLevel="0" collapsed="false">
      <c r="B27" s="15" t="s">
        <v>378</v>
      </c>
      <c r="D27" s="17" t="n">
        <f aca="false">Premissas!$D$39</f>
        <v>275454.8362</v>
      </c>
      <c r="E27" s="2" t="s">
        <v>379</v>
      </c>
    </row>
    <row r="28" customFormat="false" ht="15" hidden="false" customHeight="false" outlineLevel="0" collapsed="false">
      <c r="B28" s="15" t="s">
        <v>380</v>
      </c>
      <c r="D28" s="17" t="n">
        <f aca="false">Demonstrativos!K64</f>
        <v>98034</v>
      </c>
      <c r="E28" s="2" t="s">
        <v>381</v>
      </c>
    </row>
    <row r="29" customFormat="false" ht="15" hidden="false" customHeight="false" outlineLevel="0" collapsed="false">
      <c r="B29" s="15" t="s">
        <v>382</v>
      </c>
      <c r="D29" s="18" t="n">
        <f aca="false">D28/(D28+D27)</f>
        <v>0.262481741080753</v>
      </c>
      <c r="E29" s="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384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385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386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387</v>
      </c>
    </row>
    <row r="7" customFormat="false" ht="15" hidden="false" customHeight="false" outlineLevel="0" collapsed="false">
      <c r="B7" s="15" t="s">
        <v>388</v>
      </c>
      <c r="D7" s="33" t="n">
        <f aca="false">(DATE(2026,12,31)-Premissas!$D$36)/365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389</v>
      </c>
    </row>
    <row r="8" customFormat="false" ht="15" hidden="false" customHeight="false" outlineLevel="0" collapsed="false">
      <c r="B8" s="15" t="s">
        <v>390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391</v>
      </c>
    </row>
    <row r="9" customFormat="false" ht="15" hidden="false" customHeight="false" outlineLevel="0" collapsed="false">
      <c r="B9" s="15" t="s">
        <v>392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393</v>
      </c>
    </row>
    <row r="10" customFormat="false" ht="15" hidden="false" customHeight="false" outlineLevel="0" collapsed="false">
      <c r="B10" s="15" t="s">
        <v>394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395</v>
      </c>
    </row>
    <row r="11" customFormat="false" ht="15" hidden="false" customHeight="false" outlineLevel="0" collapsed="false">
      <c r="B11" s="4" t="s">
        <v>396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397</v>
      </c>
    </row>
    <row r="13" customFormat="false" ht="15" hidden="false" customHeight="false" outlineLevel="0" collapsed="false">
      <c r="B13" s="26" t="s">
        <v>398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399</v>
      </c>
      <c r="D14" s="18" t="n">
        <f aca="false">WACC!$D$22</f>
        <v>0.14115595075</v>
      </c>
      <c r="I14" s="2" t="s">
        <v>400</v>
      </c>
    </row>
    <row r="15" customFormat="false" ht="15" hidden="false" customHeight="false" outlineLevel="0" collapsed="false">
      <c r="B15" s="15" t="s">
        <v>401</v>
      </c>
      <c r="D15" s="18" t="n">
        <f aca="false">Premissas!$D$31</f>
        <v>0.035</v>
      </c>
      <c r="I15" s="2" t="s">
        <v>402</v>
      </c>
    </row>
    <row r="16" customFormat="false" ht="15" hidden="false" customHeight="false" outlineLevel="0" collapsed="false">
      <c r="B16" s="15" t="s">
        <v>341</v>
      </c>
      <c r="D16" s="17" t="n">
        <f aca="false">FCFF!D26</f>
        <v>52965.9193304327</v>
      </c>
      <c r="I16" s="2" t="s">
        <v>403</v>
      </c>
    </row>
    <row r="17" customFormat="false" ht="15" hidden="false" customHeight="false" outlineLevel="0" collapsed="false">
      <c r="B17" s="15" t="s">
        <v>404</v>
      </c>
      <c r="D17" s="17" t="n">
        <f aca="false">D16*(1+D15)/(D14-D15)</f>
        <v>516407.475225762</v>
      </c>
      <c r="I17" s="2" t="s">
        <v>405</v>
      </c>
    </row>
    <row r="18" customFormat="false" ht="15" hidden="false" customHeight="false" outlineLevel="0" collapsed="false">
      <c r="B18" s="15" t="s">
        <v>406</v>
      </c>
      <c r="D18" s="17" t="n">
        <f aca="false">D17/(1+D14)^H8</f>
        <v>284907.812990989</v>
      </c>
      <c r="I18" s="2" t="s">
        <v>407</v>
      </c>
    </row>
    <row r="20" customFormat="false" ht="15" hidden="false" customHeight="false" outlineLevel="0" collapsed="false">
      <c r="B20" s="26" t="s">
        <v>408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89</v>
      </c>
      <c r="D21" s="17" t="n">
        <f aca="false">SUM($D$11:$H$11)</f>
        <v>103229.505319693</v>
      </c>
      <c r="I21" s="2" t="s">
        <v>409</v>
      </c>
    </row>
    <row r="22" customFormat="false" ht="15" hidden="false" customHeight="false" outlineLevel="0" collapsed="false">
      <c r="B22" s="4" t="s">
        <v>410</v>
      </c>
      <c r="D22" s="31" t="n">
        <f aca="false">D21+D18</f>
        <v>388137.318310682</v>
      </c>
      <c r="I22" s="2" t="s">
        <v>411</v>
      </c>
    </row>
    <row r="23" customFormat="false" ht="15" hidden="false" customHeight="false" outlineLevel="0" collapsed="false">
      <c r="B23" s="15" t="s">
        <v>412</v>
      </c>
      <c r="D23" s="17" t="n">
        <f aca="false">Demonstrativos!K65</f>
        <v>68192</v>
      </c>
      <c r="I23" s="2" t="s">
        <v>413</v>
      </c>
    </row>
    <row r="24" customFormat="false" ht="15" hidden="false" customHeight="false" outlineLevel="0" collapsed="false">
      <c r="B24" s="15" t="s">
        <v>414</v>
      </c>
      <c r="D24" s="17" t="n">
        <f aca="false">Demonstrativos!K40</f>
        <v>4832</v>
      </c>
      <c r="I24" s="2" t="s">
        <v>415</v>
      </c>
    </row>
    <row r="25" customFormat="false" ht="15" hidden="false" customHeight="false" outlineLevel="0" collapsed="false">
      <c r="B25" s="15" t="s">
        <v>416</v>
      </c>
      <c r="D25" s="17" t="n">
        <f aca="false">Demonstrativos!K31</f>
        <v>27248</v>
      </c>
      <c r="I25" s="2" t="s">
        <v>417</v>
      </c>
    </row>
    <row r="26" customFormat="false" ht="15" hidden="false" customHeight="false" outlineLevel="0" collapsed="false">
      <c r="B26" s="15" t="s">
        <v>418</v>
      </c>
      <c r="D26" s="17" t="n">
        <f aca="false">Premissas!$D$33</f>
        <v>0</v>
      </c>
      <c r="I26" s="2" t="s">
        <v>419</v>
      </c>
    </row>
    <row r="27" customFormat="false" ht="15" hidden="false" customHeight="false" outlineLevel="0" collapsed="false">
      <c r="B27" s="4" t="s">
        <v>420</v>
      </c>
      <c r="D27" s="31" t="n">
        <f aca="false">D22-D23-D24+D25-D26</f>
        <v>342361.318310682</v>
      </c>
      <c r="I27" s="2" t="s">
        <v>421</v>
      </c>
    </row>
    <row r="28" customFormat="false" ht="15" hidden="false" customHeight="false" outlineLevel="0" collapsed="false">
      <c r="B28" s="15" t="s">
        <v>422</v>
      </c>
      <c r="D28" s="24" t="n">
        <f aca="false">Premissas!$D$37</f>
        <v>4072.366</v>
      </c>
      <c r="I28" s="2" t="s">
        <v>423</v>
      </c>
    </row>
    <row r="29" customFormat="false" ht="15" hidden="false" customHeight="false" outlineLevel="0" collapsed="false">
      <c r="B29" s="4" t="s">
        <v>24</v>
      </c>
      <c r="D29" s="25" t="n">
        <f aca="false">D27/D28</f>
        <v>84.0693882403208</v>
      </c>
      <c r="I29" s="2" t="s">
        <v>424</v>
      </c>
    </row>
    <row r="30" customFormat="false" ht="15" hidden="false" customHeight="false" outlineLevel="0" collapsed="false">
      <c r="B30" s="15" t="s">
        <v>26</v>
      </c>
      <c r="D30" s="16" t="n">
        <f aca="false">Premissas!$D$38</f>
        <v>67.64</v>
      </c>
      <c r="I30" s="2" t="s">
        <v>27</v>
      </c>
    </row>
    <row r="31" customFormat="false" ht="15" hidden="false" customHeight="false" outlineLevel="0" collapsed="false">
      <c r="B31" s="15" t="s">
        <v>425</v>
      </c>
      <c r="D31" s="11" t="n">
        <f aca="false">D29/D30-1</f>
        <v>0.242894562985227</v>
      </c>
      <c r="I31" s="2" t="s">
        <v>29</v>
      </c>
    </row>
    <row r="32" customFormat="false" ht="15" hidden="false" customHeight="false" outlineLevel="0" collapsed="false">
      <c r="B32" s="15" t="s">
        <v>426</v>
      </c>
      <c r="D32" s="11" t="n">
        <f aca="false">D18/D22</f>
        <v>0.734038701125195</v>
      </c>
      <c r="I32" s="2" t="s">
        <v>427</v>
      </c>
    </row>
    <row r="33" customFormat="false" ht="15" hidden="false" customHeight="false" outlineLevel="0" collapsed="false">
      <c r="B33" s="15" t="s">
        <v>428</v>
      </c>
      <c r="D33" s="29" t="n">
        <f aca="false">D22/Projeção!D14</f>
        <v>5.14589064658759</v>
      </c>
      <c r="I33" s="2" t="s">
        <v>429</v>
      </c>
    </row>
    <row r="35" customFormat="false" ht="15" hidden="false" customHeight="false" outlineLevel="0" collapsed="false">
      <c r="B35" s="26" t="s">
        <v>430</v>
      </c>
      <c r="C35" s="27"/>
      <c r="D35" s="27"/>
      <c r="E35" s="27"/>
      <c r="F35" s="27"/>
      <c r="G35" s="27"/>
      <c r="H35" s="27"/>
    </row>
    <row r="36" customFormat="false" ht="15" hidden="false" customHeight="false" outlineLevel="0" collapsed="false">
      <c r="B36" s="4" t="s">
        <v>431</v>
      </c>
      <c r="D36" s="31" t="n">
        <f aca="false">FCFF!D22</f>
        <v>18047.1177203097</v>
      </c>
      <c r="E36" s="31" t="n">
        <f aca="false">FCFF!E22</f>
        <v>20579.8108839889</v>
      </c>
      <c r="F36" s="31" t="n">
        <f aca="false">FCFF!F22</f>
        <v>23551.4093266267</v>
      </c>
      <c r="G36" s="31" t="n">
        <f aca="false">FCFF!G22</f>
        <v>26767.0043706343</v>
      </c>
      <c r="H36" s="31" t="n">
        <f aca="false">FCFF!H22</f>
        <v>30266.3398754057</v>
      </c>
      <c r="I36" s="2" t="s">
        <v>432</v>
      </c>
    </row>
    <row r="37" customFormat="false" ht="15" hidden="false" customHeight="false" outlineLevel="0" collapsed="false">
      <c r="B37" s="15" t="s">
        <v>433</v>
      </c>
      <c r="D37" s="23" t="n">
        <f aca="false">1/(1+WACC!$D$24)^D9</f>
        <v>0.963057230697192</v>
      </c>
      <c r="E37" s="23" t="n">
        <f aca="false">1/(1+WACC!$D$24)^E9</f>
        <v>0.86074582946693</v>
      </c>
      <c r="F37" s="23" t="n">
        <f aca="false">1/(1+WACC!$D$24)^F9</f>
        <v>0.741338228885366</v>
      </c>
      <c r="G37" s="23" t="n">
        <f aca="false">1/(1+WACC!$D$24)^G9</f>
        <v>0.638495535839255</v>
      </c>
      <c r="H37" s="23" t="n">
        <f aca="false">1/(1+WACC!$D$24)^H9</f>
        <v>0.549919771302792</v>
      </c>
      <c r="I37" s="2" t="s">
        <v>434</v>
      </c>
    </row>
    <row r="38" customFormat="false" ht="15" hidden="false" customHeight="false" outlineLevel="0" collapsed="false">
      <c r="B38" s="15" t="s">
        <v>435</v>
      </c>
      <c r="D38" s="17" t="n">
        <f aca="false">D36*D7*D37</f>
        <v>8761.62993790941</v>
      </c>
      <c r="E38" s="17" t="n">
        <f aca="false">E36*E7*E37</f>
        <v>17713.9863896116</v>
      </c>
      <c r="F38" s="17" t="n">
        <f aca="false">F36*F7*F37</f>
        <v>17459.5600779558</v>
      </c>
      <c r="G38" s="17" t="n">
        <f aca="false">G36*G7*G37</f>
        <v>17090.6127984398</v>
      </c>
      <c r="H38" s="17" t="n">
        <f aca="false">H36*H7*H37</f>
        <v>16644.0587024557</v>
      </c>
      <c r="I38" s="2" t="s">
        <v>436</v>
      </c>
    </row>
    <row r="39" customFormat="false" ht="15" hidden="false" customHeight="false" outlineLevel="0" collapsed="false">
      <c r="B39" s="15" t="s">
        <v>437</v>
      </c>
      <c r="D39" s="18" t="n">
        <f aca="false">WACC!$D$24</f>
        <v>0.16107034</v>
      </c>
      <c r="I39" s="2" t="s">
        <v>438</v>
      </c>
    </row>
    <row r="40" customFormat="false" ht="15" hidden="false" customHeight="false" outlineLevel="0" collapsed="false">
      <c r="B40" s="15" t="s">
        <v>343</v>
      </c>
      <c r="D40" s="17" t="n">
        <f aca="false">FCFF!D27</f>
        <v>46065.4322105305</v>
      </c>
      <c r="I40" s="2" t="s">
        <v>439</v>
      </c>
    </row>
    <row r="41" customFormat="false" ht="15" hidden="false" customHeight="false" outlineLevel="0" collapsed="false">
      <c r="B41" s="15" t="s">
        <v>440</v>
      </c>
      <c r="D41" s="17" t="n">
        <f aca="false">D40*(1+D15)/(D39-D15)/(1+D39)^H8</f>
        <v>193006.815285186</v>
      </c>
      <c r="I41" s="2" t="s">
        <v>441</v>
      </c>
    </row>
    <row r="42" customFormat="false" ht="15" hidden="false" customHeight="false" outlineLevel="0" collapsed="false">
      <c r="B42" s="4" t="s">
        <v>442</v>
      </c>
      <c r="D42" s="31" t="n">
        <f aca="false">SUM($D$38:$H$38)+D41-D24+D25-D26</f>
        <v>293092.663191558</v>
      </c>
      <c r="I42" s="2" t="s">
        <v>443</v>
      </c>
    </row>
    <row r="43" customFormat="false" ht="15" hidden="false" customHeight="false" outlineLevel="0" collapsed="false">
      <c r="B43" s="15" t="s">
        <v>444</v>
      </c>
      <c r="D43" s="16" t="n">
        <f aca="false">D42/D28</f>
        <v>71.9711006308269</v>
      </c>
      <c r="I43" s="2" t="s">
        <v>445</v>
      </c>
    </row>
    <row r="45" customFormat="false" ht="15" hidden="false" customHeight="false" outlineLevel="0" collapsed="false">
      <c r="B45" s="26" t="s">
        <v>446</v>
      </c>
      <c r="C45" s="27"/>
      <c r="D45" s="27"/>
      <c r="E45" s="27"/>
      <c r="F45" s="27"/>
      <c r="G45" s="27"/>
      <c r="H45" s="27"/>
    </row>
    <row r="46" customFormat="false" ht="15" hidden="false" customHeight="false" outlineLevel="0" collapsed="false">
      <c r="C46" s="13" t="s">
        <v>447</v>
      </c>
      <c r="D46" s="34" t="n">
        <f aca="false">$D$15+-2*0.005</f>
        <v>0.025</v>
      </c>
      <c r="E46" s="34" t="n">
        <f aca="false">$D$15+-1*0.005</f>
        <v>0.03</v>
      </c>
      <c r="F46" s="34" t="n">
        <f aca="false">$D$15+0*0.005</f>
        <v>0.035</v>
      </c>
      <c r="G46" s="34" t="n">
        <f aca="false">$D$15+1*0.005</f>
        <v>0.04</v>
      </c>
      <c r="H46" s="34" t="n">
        <f aca="false">$D$15+2*0.005</f>
        <v>0.045</v>
      </c>
      <c r="I46" s="2" t="s">
        <v>448</v>
      </c>
    </row>
    <row r="47" customFormat="false" ht="15" hidden="false" customHeight="false" outlineLevel="0" collapsed="false">
      <c r="C47" s="34" t="n">
        <f aca="false">$D$14+-2*0.01</f>
        <v>0.12115595075</v>
      </c>
      <c r="D47" s="16" t="n">
        <f aca="false">(SUMPRODUCT($D$6:$H$6*$D$7:$H$7/(1+$C47)^$D$9:$H$9)+$D$16*(1+D$46)/($C47-D$46)/(1+$C47)^$H$8-$D$23-$D$24+$D$25-$D$26)/$D$28</f>
        <v>97.9596452787297</v>
      </c>
      <c r="E47" s="16" t="n">
        <f aca="false">(SUMPRODUCT($D$6:$H$6*$D$7:$H$7/(1+$C47)^$D$9:$H$9)+$D$16*(1+E$46)/($C47-E$46)/(1+$C47)^$H$8-$D$23-$D$24+$D$25-$D$26)/$D$28</f>
        <v>102.92926692267</v>
      </c>
      <c r="F47" s="16" t="n">
        <f aca="false">(SUMPRODUCT($D$6:$H$6*$D$7:$H$7/(1+$C47)^$D$9:$H$9)+$D$16*(1+F$46)/($C47-F$46)/(1+$C47)^$H$8-$D$23-$D$24+$D$25-$D$26)/$D$28</f>
        <v>108.475705559596</v>
      </c>
      <c r="G47" s="16" t="n">
        <f aca="false">(SUMPRODUCT($D$6:$H$6*$D$7:$H$7/(1+$C47)^$D$9:$H$9)+$D$16*(1+G$46)/($C47-G$46)/(1+$C47)^$H$8-$D$23-$D$24+$D$25-$D$26)/$D$28</f>
        <v>114.705573887834</v>
      </c>
      <c r="H47" s="16" t="n">
        <f aca="false">(SUMPRODUCT($D$6:$H$6*$D$7:$H$7/(1+$C47)^$D$9:$H$9)+$D$16*(1+H$46)/($C47-H$46)/(1+$C47)^$H$8-$D$23-$D$24+$D$25-$D$26)/$D$28</f>
        <v>121.753483126453</v>
      </c>
    </row>
    <row r="48" customFormat="false" ht="15" hidden="false" customHeight="false" outlineLevel="0" collapsed="false">
      <c r="C48" s="34" t="n">
        <f aca="false">$D$14+-1*0.01</f>
        <v>0.13115595075</v>
      </c>
      <c r="D48" s="16" t="n">
        <f aca="false">(SUMPRODUCT($D$6:$H$6*$D$7:$H$7/(1+$C48)^$D$9:$H$9)+$D$16*(1+D$46)/($C48-D$46)/(1+$C48)^$H$8-$D$23-$D$24+$D$25-$D$26)/$D$28</f>
        <v>86.6963661597229</v>
      </c>
      <c r="E48" s="16" t="n">
        <f aca="false">(SUMPRODUCT($D$6:$H$6*$D$7:$H$7/(1+$C48)^$D$9:$H$9)+$D$16*(1+E$46)/($C48-E$46)/(1+$C48)^$H$8-$D$23-$D$24+$D$25-$D$26)/$D$28</f>
        <v>90.6285633105005</v>
      </c>
      <c r="F48" s="16" t="n">
        <f aca="false">(SUMPRODUCT($D$6:$H$6*$D$7:$H$7/(1+$C48)^$D$9:$H$9)+$D$16*(1+F$46)/($C48-F$46)/(1+$C48)^$H$8-$D$23-$D$24+$D$25-$D$26)/$D$28</f>
        <v>94.9697000141717</v>
      </c>
      <c r="G48" s="16" t="n">
        <f aca="false">(SUMPRODUCT($D$6:$H$6*$D$7:$H$7/(1+$C48)^$D$9:$H$9)+$D$16*(1+G$46)/($C48-G$46)/(1+$C48)^$H$8-$D$23-$D$24+$D$25-$D$26)/$D$28</f>
        <v>99.7870685675417</v>
      </c>
      <c r="H48" s="16" t="n">
        <f aca="false">(SUMPRODUCT($D$6:$H$6*$D$7:$H$7/(1+$C48)^$D$9:$H$9)+$D$16*(1+H$46)/($C48-H$46)/(1+$C48)^$H$8-$D$23-$D$24+$D$25-$D$26)/$D$28</f>
        <v>105.163582311863</v>
      </c>
    </row>
    <row r="49" customFormat="false" ht="15" hidden="false" customHeight="false" outlineLevel="0" collapsed="false">
      <c r="C49" s="34" t="n">
        <f aca="false">$D$14+0*0.01</f>
        <v>0.14115595075</v>
      </c>
      <c r="D49" s="16" t="n">
        <f aca="false">(SUMPRODUCT($D$6:$H$6*$D$7:$H$7/(1+$C49)^$D$9:$H$9)+$D$16*(1+D$46)/($C49-D$46)/(1+$C49)^$H$8-$D$23-$D$24+$D$25-$D$26)/$D$28</f>
        <v>77.4285830281698</v>
      </c>
      <c r="E49" s="16" t="n">
        <f aca="false">(SUMPRODUCT($D$6:$H$6*$D$7:$H$7/(1+$C49)^$D$9:$H$9)+$D$16*(1+E$46)/($C49-E$46)/(1+$C49)^$H$8-$D$23-$D$24+$D$25-$D$26)/$D$28</f>
        <v>80.5996277913376</v>
      </c>
      <c r="F49" s="25" t="n">
        <f aca="false">(SUMPRODUCT($D$6:$H$6*$D$7:$H$7/(1+$C49)^$D$9:$H$9)+$D$16*(1+F$46)/($C49-F$46)/(1+$C49)^$H$8-$D$23-$D$24+$D$25-$D$26)/$D$28</f>
        <v>84.0693882403208</v>
      </c>
      <c r="G49" s="16" t="n">
        <f aca="false">(SUMPRODUCT($D$6:$H$6*$D$7:$H$7/(1+$C49)^$D$9:$H$9)+$D$16*(1+G$46)/($C49-G$46)/(1+$C49)^$H$8-$D$23-$D$24+$D$25-$D$26)/$D$28</f>
        <v>87.882159695899</v>
      </c>
      <c r="H49" s="16" t="n">
        <f aca="false">(SUMPRODUCT($D$6:$H$6*$D$7:$H$7/(1+$C49)^$D$9:$H$9)+$D$16*(1+H$46)/($C49-H$46)/(1+$C49)^$H$8-$D$23-$D$24+$D$25-$D$26)/$D$28</f>
        <v>92.0914507039167</v>
      </c>
    </row>
    <row r="50" customFormat="false" ht="15" hidden="false" customHeight="false" outlineLevel="0" collapsed="false">
      <c r="C50" s="34" t="n">
        <f aca="false">$D$14+1*0.01</f>
        <v>0.15115595075</v>
      </c>
      <c r="D50" s="16" t="n">
        <f aca="false">(SUMPRODUCT($D$6:$H$6*$D$7:$H$7/(1+$C50)^$D$9:$H$9)+$D$16*(1+D$46)/($C50-D$46)/(1+$C50)^$H$8-$D$23-$D$24+$D$25-$D$26)/$D$28</f>
        <v>69.6786574917499</v>
      </c>
      <c r="E50" s="16" t="n">
        <f aca="false">(SUMPRODUCT($D$6:$H$6*$D$7:$H$7/(1+$C50)^$D$9:$H$9)+$D$16*(1+E$46)/($C50-E$46)/(1+$C50)^$H$8-$D$23-$D$24+$D$25-$D$26)/$D$28</f>
        <v>72.2767009953681</v>
      </c>
      <c r="F50" s="16" t="n">
        <f aca="false">(SUMPRODUCT($D$6:$H$6*$D$7:$H$7/(1+$C50)^$D$9:$H$9)+$D$16*(1+F$46)/($C50-F$46)/(1+$C50)^$H$8-$D$23-$D$24+$D$25-$D$26)/$D$28</f>
        <v>75.0984130658433</v>
      </c>
      <c r="G50" s="16" t="n">
        <f aca="false">(SUMPRODUCT($D$6:$H$6*$D$7:$H$7/(1+$C50)^$D$9:$H$9)+$D$16*(1+G$46)/($C50-G$46)/(1+$C50)^$H$8-$D$23-$D$24+$D$25-$D$26)/$D$28</f>
        <v>78.1739767791174</v>
      </c>
      <c r="H50" s="16" t="n">
        <f aca="false">(SUMPRODUCT($D$6:$H$6*$D$7:$H$7/(1+$C50)^$D$9:$H$9)+$D$16*(1+H$46)/($C50-H$46)/(1+$C50)^$H$8-$D$23-$D$24+$D$25-$D$26)/$D$28</f>
        <v>81.5392617648727</v>
      </c>
    </row>
    <row r="51" customFormat="false" ht="15" hidden="false" customHeight="false" outlineLevel="0" collapsed="false">
      <c r="C51" s="34" t="n">
        <f aca="false">$D$14+2*0.01</f>
        <v>0.16115595075</v>
      </c>
      <c r="D51" s="16" t="n">
        <f aca="false">(SUMPRODUCT($D$6:$H$6*$D$7:$H$7/(1+$C51)^$D$9:$H$9)+$D$16*(1+D$46)/($C51-D$46)/(1+$C51)^$H$8-$D$23-$D$24+$D$25-$D$26)/$D$28</f>
        <v>63.1094664363626</v>
      </c>
      <c r="E51" s="16" t="n">
        <f aca="false">(SUMPRODUCT($D$6:$H$6*$D$7:$H$7/(1+$C51)^$D$9:$H$9)+$D$16*(1+E$46)/($C51-E$46)/(1+$C51)^$H$8-$D$23-$D$24+$D$25-$D$26)/$D$28</f>
        <v>65.2667711026161</v>
      </c>
      <c r="F51" s="16" t="n">
        <f aca="false">(SUMPRODUCT($D$6:$H$6*$D$7:$H$7/(1+$C51)^$D$9:$H$9)+$D$16*(1+F$46)/($C51-F$46)/(1+$C51)^$H$8-$D$23-$D$24+$D$25-$D$26)/$D$28</f>
        <v>67.5950787737559</v>
      </c>
      <c r="G51" s="16" t="n">
        <f aca="false">(SUMPRODUCT($D$6:$H$6*$D$7:$H$7/(1+$C51)^$D$9:$H$9)+$D$16*(1+G$46)/($C51-G$46)/(1+$C51)^$H$8-$D$23-$D$24+$D$25-$D$26)/$D$28</f>
        <v>70.1155608826122</v>
      </c>
      <c r="H51" s="16" t="n">
        <f aca="false">(SUMPRODUCT($D$6:$H$6*$D$7:$H$7/(1+$C51)^$D$9:$H$9)+$D$16*(1+H$46)/($C51-H$46)/(1+$C51)^$H$8-$D$23-$D$24+$D$25-$D$26)/$D$28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449</v>
      </c>
    </row>
    <row r="2" customFormat="false" ht="15" hidden="false" customHeight="false" outlineLevel="0" collapsed="false">
      <c r="B2" s="2" t="s">
        <v>450</v>
      </c>
    </row>
    <row r="4" customFormat="false" ht="15" hidden="false" customHeight="false" outlineLevel="0" collapsed="false">
      <c r="B4" s="8" t="s">
        <v>451</v>
      </c>
      <c r="C4" s="9" t="s">
        <v>452</v>
      </c>
      <c r="D4" s="9" t="s">
        <v>453</v>
      </c>
      <c r="E4" s="9" t="s">
        <v>454</v>
      </c>
      <c r="F4" s="9" t="s">
        <v>455</v>
      </c>
      <c r="G4" s="9" t="s">
        <v>233</v>
      </c>
      <c r="H4" s="9" t="s">
        <v>456</v>
      </c>
      <c r="I4" s="9" t="s">
        <v>457</v>
      </c>
      <c r="J4" s="9" t="s">
        <v>262</v>
      </c>
      <c r="K4" s="9" t="s">
        <v>266</v>
      </c>
      <c r="L4" s="9" t="s">
        <v>458</v>
      </c>
      <c r="M4" s="9" t="s">
        <v>459</v>
      </c>
      <c r="N4" s="9" t="s">
        <v>460</v>
      </c>
      <c r="O4" s="9" t="s">
        <v>461</v>
      </c>
      <c r="P4" s="9" t="s">
        <v>462</v>
      </c>
      <c r="Q4" s="9" t="s">
        <v>463</v>
      </c>
    </row>
    <row r="5" customFormat="false" ht="15" hidden="false" customHeight="false" outlineLevel="0" collapsed="false">
      <c r="B5" s="0" t="s">
        <v>5</v>
      </c>
      <c r="C5" s="35" t="s">
        <v>464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51933</v>
      </c>
      <c r="K5" s="38" t="n">
        <v>34110</v>
      </c>
      <c r="L5" s="38" t="n">
        <v>10369</v>
      </c>
      <c r="M5" s="38" t="n">
        <v>196635</v>
      </c>
      <c r="N5" s="39" t="n">
        <f aca="false">I5/J5</f>
        <v>6.71016186625075</v>
      </c>
      <c r="O5" s="39" t="n">
        <f aca="false">I5/K5</f>
        <v>10.2163247200235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465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465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8730.516</v>
      </c>
      <c r="K7" s="38" t="n">
        <v>5034.141</v>
      </c>
      <c r="L7" s="38" t="n">
        <v>2237.081</v>
      </c>
      <c r="M7" s="38" t="n">
        <v>53544.554</v>
      </c>
      <c r="N7" s="39" t="n">
        <f aca="false">I7/J7</f>
        <v>6.23065542746843</v>
      </c>
      <c r="O7" s="39" t="n">
        <f aca="false">I7/K7</f>
        <v>10.8055846866427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466</v>
      </c>
      <c r="C8" s="35" t="s">
        <v>465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164.986</v>
      </c>
      <c r="K8" s="38" t="n">
        <v>-982.31</v>
      </c>
      <c r="L8" s="38" t="n">
        <v>-2320.418</v>
      </c>
      <c r="M8" s="38" t="n">
        <v>20751.154</v>
      </c>
      <c r="N8" s="39" t="n">
        <f aca="false">I8/J8</f>
        <v>66.1897124604512</v>
      </c>
      <c r="O8" s="39" t="n">
        <f aca="false">I8/K8</f>
        <v>-11.1170362716454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467</v>
      </c>
      <c r="C9" s="35" t="s">
        <v>464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468</v>
      </c>
      <c r="N11" s="40" t="n">
        <f aca="false">MEDIAN(N6,N7,N8,N9)</f>
        <v>6.38866055487085</v>
      </c>
      <c r="O11" s="40" t="n">
        <f aca="false">MEDIAN(O6,O7,O8,O9)</f>
        <v>8.45766854602946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469</v>
      </c>
      <c r="N12" s="40" t="n">
        <f aca="false">MEDIAN(N5,N7,N8,N9)</f>
        <v>6.47040864685959</v>
      </c>
      <c r="O12" s="40" t="n">
        <f aca="false">MEDIAN(O5,O7,O8,O9)</f>
        <v>8.16303856271986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470</v>
      </c>
      <c r="N13" s="40" t="n">
        <f aca="false">MEDIAN(N5,N6,N8,N9)</f>
        <v>6.62841377426201</v>
      </c>
      <c r="O13" s="40" t="n">
        <f aca="false">MEDIAN(O5,O6,O8,O9)</f>
        <v>8.16303856271986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5" customFormat="false" ht="15" hidden="false" customHeight="false" outlineLevel="0" collapsed="false">
      <c r="B15" s="13" t="str">
        <f aca="false">"Preço por ação implícito - "&amp;Painel!$D$5</f>
        <v>Preço por ação implícito - Vale (VALE3)</v>
      </c>
      <c r="C15" s="13" t="s">
        <v>471</v>
      </c>
      <c r="D15" s="13" t="s">
        <v>251</v>
      </c>
    </row>
    <row r="16" customFormat="false" ht="15" hidden="false" customHeight="false" outlineLevel="0" collapsed="false">
      <c r="B16" s="0" t="s">
        <v>472</v>
      </c>
      <c r="C16" s="36" t="n">
        <f aca="false">IF(INDEX(J5:J7,Painel!$Y$5)&gt;0,(INDEX(N11:N13,Painel!$Y$5)*INDEX(J5:J7,Painel!$Y$5)-INDEX(G5:G7,Painel!$Y$5)-INDEX(H5:H7,Painel!$Y$5))/INDEX(E5:E7,Painel!$Y$5),"n.a.")</f>
        <v>63.5400424706689</v>
      </c>
      <c r="D16" s="2" t="s">
        <v>473</v>
      </c>
    </row>
    <row r="17" customFormat="false" ht="15" hidden="false" customHeight="false" outlineLevel="0" collapsed="false">
      <c r="B17" s="0" t="s">
        <v>474</v>
      </c>
      <c r="C17" s="36" t="n">
        <f aca="false">IF(INDEX(K5:K7,Painel!$Y$5)&gt;0,(INDEX(O11:O13,Painel!$Y$5)*INDEX(K5:K7,Painel!$Y$5)-INDEX(G5:G7,Painel!$Y$5)-INDEX(H5:H7,Painel!$Y$5))/INDEX(E5:E7,Painel!$Y$5),"n.a.")</f>
        <v>52.9095553064398</v>
      </c>
      <c r="D17" s="2" t="s">
        <v>475</v>
      </c>
    </row>
    <row r="18" customFormat="false" ht="15" hidden="false" customHeight="false" outlineLevel="0" collapsed="false">
      <c r="B18" s="0" t="s">
        <v>476</v>
      </c>
      <c r="C18" s="36" t="n">
        <f aca="false">IF(INDEX(L5:L7,Painel!$Y$5)&gt;0,INDEX(P11:P13,Painel!$Y$5)*INDEX(L5:L7,Painel!$Y$5)/INDEX(E5:E7,Painel!$Y$5),"n.a.")</f>
        <v>41.1453928403429</v>
      </c>
      <c r="D18" s="2" t="s">
        <v>477</v>
      </c>
    </row>
    <row r="19" customFormat="false" ht="15" hidden="false" customHeight="false" outlineLevel="0" collapsed="false">
      <c r="B19" s="0" t="s">
        <v>478</v>
      </c>
      <c r="C19" s="36" t="n">
        <f aca="false">INDEX(Q11:Q13,Painel!$Y$5)*INDEX(M5:M7,Painel!$Y$5)/INDEX(E5:E7,Painel!$Y$5)</f>
        <v>37.5171586681882</v>
      </c>
      <c r="D19" s="2" t="s">
        <v>479</v>
      </c>
    </row>
    <row r="20" customFormat="false" ht="15" hidden="false" customHeight="false" outlineLevel="0" collapsed="false">
      <c r="B20" s="0" t="s">
        <v>480</v>
      </c>
      <c r="C20" s="36" t="n">
        <f aca="false">'Valor justo'!D29</f>
        <v>84.0693882403208</v>
      </c>
      <c r="D20" s="2" t="s">
        <v>481</v>
      </c>
    </row>
    <row r="21" customFormat="false" ht="15" hidden="false" customHeight="false" outlineLevel="0" collapsed="false">
      <c r="B21" s="0" t="s">
        <v>26</v>
      </c>
      <c r="C21" s="36" t="n">
        <f aca="false">INDEX(D5:D7,Painel!$Y$5)</f>
        <v>67.64</v>
      </c>
      <c r="D21" s="2" t="s">
        <v>27</v>
      </c>
    </row>
    <row r="23" customFormat="false" ht="15" hidden="false" customHeight="false" outlineLevel="0" collapsed="false">
      <c r="B23" s="2" t="s">
        <v>482</v>
      </c>
    </row>
    <row r="24" customFormat="false" ht="15" hidden="false" customHeight="false" outlineLevel="0" collapsed="false">
      <c r="B24" s="2" t="s">
        <v>483</v>
      </c>
    </row>
    <row r="25" customFormat="false" ht="15" hidden="false" customHeight="false" outlineLevel="0" collapsed="false">
      <c r="B25" s="2" t="s">
        <v>484</v>
      </c>
    </row>
    <row r="26" customFormat="false" ht="15" hidden="false" customHeight="false" outlineLevel="0" collapsed="false">
      <c r="B26" s="2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486</v>
      </c>
    </row>
    <row r="4" customFormat="false" ht="15" hidden="false" customHeight="false" outlineLevel="0" collapsed="false">
      <c r="B4" s="8" t="s">
        <v>487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23</v>
      </c>
    </row>
    <row r="5" customFormat="false" ht="15" hidden="false" customHeight="false" outlineLevel="0" collapsed="false">
      <c r="B5" s="26" t="s">
        <v>488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489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490</v>
      </c>
    </row>
    <row r="7" customFormat="false" ht="15" hidden="false" customHeight="false" outlineLevel="0" collapsed="false">
      <c r="B7" s="15" t="s">
        <v>491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492</v>
      </c>
    </row>
    <row r="8" customFormat="false" ht="15" hidden="false" customHeight="false" outlineLevel="0" collapsed="false">
      <c r="B8" s="15" t="s">
        <v>493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494</v>
      </c>
    </row>
    <row r="9" customFormat="false" ht="15" hidden="false" customHeight="false" outlineLevel="0" collapsed="false">
      <c r="B9" s="4" t="s">
        <v>495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496</v>
      </c>
    </row>
    <row r="10" customFormat="false" ht="15" hidden="false" customHeight="false" outlineLevel="0" collapsed="false">
      <c r="B10" s="26" t="s">
        <v>497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141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498</v>
      </c>
    </row>
    <row r="12" customFormat="false" ht="15" hidden="false" customHeight="false" outlineLevel="0" collapsed="false">
      <c r="B12" s="15" t="s">
        <v>280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499</v>
      </c>
    </row>
    <row r="13" customFormat="false" ht="15" hidden="false" customHeight="false" outlineLevel="0" collapsed="false">
      <c r="B13" s="15" t="s">
        <v>500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501</v>
      </c>
    </row>
    <row r="14" customFormat="false" ht="15" hidden="false" customHeight="false" outlineLevel="0" collapsed="false">
      <c r="B14" s="15" t="s">
        <v>502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503</v>
      </c>
    </row>
    <row r="15" customFormat="false" ht="15" hidden="false" customHeight="false" outlineLevel="0" collapsed="false">
      <c r="B15" s="15" t="s">
        <v>504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505</v>
      </c>
    </row>
    <row r="16" customFormat="false" ht="15" hidden="false" customHeight="false" outlineLevel="0" collapsed="false">
      <c r="B16" s="15" t="s">
        <v>506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507</v>
      </c>
    </row>
    <row r="17" customFormat="false" ht="15" hidden="false" customHeight="false" outlineLevel="0" collapsed="false">
      <c r="B17" s="4" t="s">
        <v>508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509</v>
      </c>
    </row>
    <row r="18" customFormat="false" ht="15" hidden="false" customHeight="false" outlineLevel="0" collapsed="false">
      <c r="B18" s="26" t="s">
        <v>510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511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512</v>
      </c>
    </row>
    <row r="20" customFormat="false" ht="15" hidden="false" customHeight="false" outlineLevel="0" collapsed="false">
      <c r="B20" s="15" t="s">
        <v>513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514</v>
      </c>
    </row>
    <row r="21" customFormat="false" ht="15" hidden="false" customHeight="false" outlineLevel="0" collapsed="false">
      <c r="B21" s="15" t="s">
        <v>515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516</v>
      </c>
    </row>
    <row r="24" customFormat="false" ht="15" hidden="false" customHeight="false" outlineLevel="0" collapsed="false">
      <c r="B24" s="13" t="s">
        <v>517</v>
      </c>
      <c r="C24" s="13"/>
      <c r="D24" s="13" t="s">
        <v>13</v>
      </c>
      <c r="E24" s="13" t="s">
        <v>8</v>
      </c>
      <c r="F24" s="13" t="s">
        <v>14</v>
      </c>
    </row>
    <row r="25" customFormat="false" ht="15" hidden="false" customHeight="false" outlineLevel="0" collapsed="false">
      <c r="B25" s="4" t="s">
        <v>24</v>
      </c>
      <c r="D25" s="41" t="n">
        <f aca="false">INDEX(D$1:D$72,ROW()+12*Painel!$Y$5)</f>
        <v>51.0489960521451</v>
      </c>
      <c r="E25" s="41" t="n">
        <f aca="false">INDEX(E$1:E$72,ROW()+12*Painel!$Y$5)</f>
        <v>84.0693882403208</v>
      </c>
      <c r="F25" s="41" t="n">
        <f aca="false">INDEX(F$1:F$72,ROW()+12*Painel!$Y$5)</f>
        <v>138.611356353207</v>
      </c>
    </row>
    <row r="26" customFormat="false" ht="15" hidden="false" customHeight="false" outlineLevel="0" collapsed="false">
      <c r="B26" s="15" t="s">
        <v>30</v>
      </c>
      <c r="D26" s="17" t="n">
        <f aca="false">INDEX(D$1:D$72,ROW()+12*Painel!$Y$5)</f>
        <v>253666.19585689</v>
      </c>
      <c r="E26" s="17" t="n">
        <f aca="false">INDEX(E$1:E$72,ROW()+12*Painel!$Y$5)</f>
        <v>388137.318310682</v>
      </c>
      <c r="F26" s="17" t="n">
        <f aca="false">INDEX(F$1:F$72,ROW()+12*Painel!$Y$5)</f>
        <v>610252.174826684</v>
      </c>
    </row>
    <row r="27" customFormat="false" ht="15" hidden="false" customHeight="false" outlineLevel="0" collapsed="false">
      <c r="B27" s="15" t="s">
        <v>32</v>
      </c>
      <c r="D27" s="17" t="n">
        <f aca="false">INDEX(D$1:D$72,ROW()+12*Painel!$Y$5)</f>
        <v>207890.19585689</v>
      </c>
      <c r="E27" s="17" t="n">
        <f aca="false">INDEX(E$1:E$72,ROW()+12*Painel!$Y$5)</f>
        <v>342361.318310682</v>
      </c>
      <c r="F27" s="17" t="n">
        <f aca="false">INDEX(F$1:F$72,ROW()+12*Painel!$Y$5)</f>
        <v>564476.174826684</v>
      </c>
    </row>
    <row r="28" customFormat="false" ht="15" hidden="false" customHeight="false" outlineLevel="0" collapsed="false">
      <c r="B28" s="15" t="s">
        <v>399</v>
      </c>
      <c r="D28" s="11" t="n">
        <f aca="false">INDEX(D$1:D$72,ROW()+12*Painel!$Y$5)</f>
        <v>0.15675595075</v>
      </c>
      <c r="E28" s="11" t="n">
        <f aca="false">INDEX(E$1:E$72,ROW()+12*Painel!$Y$5)</f>
        <v>0.14115595075</v>
      </c>
      <c r="F28" s="11" t="n">
        <f aca="false">INDEX(F$1:F$72,ROW()+12*Painel!$Y$5)</f>
        <v>0.12555595075</v>
      </c>
    </row>
    <row r="29" customFormat="false" ht="15" hidden="false" customHeight="false" outlineLevel="0" collapsed="false">
      <c r="B29" s="15" t="s">
        <v>17</v>
      </c>
      <c r="D29" s="11" t="n">
        <f aca="false">INDEX(D$1:D$72,ROW()+12*Painel!$Y$5)</f>
        <v>0</v>
      </c>
      <c r="E29" s="11" t="n">
        <f aca="false">INDEX(E$1:E$72,ROW()+12*Painel!$Y$5)</f>
        <v>0.0378</v>
      </c>
      <c r="F29" s="11" t="n">
        <f aca="false">INDEX(F$1:F$72,ROW()+12*Painel!$Y$5)</f>
        <v>0.0683</v>
      </c>
    </row>
    <row r="30" customFormat="false" ht="15" hidden="false" customHeight="false" outlineLevel="0" collapsed="false">
      <c r="B30" s="15" t="s">
        <v>518</v>
      </c>
      <c r="D30" s="11" t="n">
        <f aca="false">INDEX(D$1:D$72,ROW()+12*Painel!$Y$5)</f>
        <v>0.3484</v>
      </c>
      <c r="E30" s="11" t="n">
        <f aca="false">INDEX(E$1:E$72,ROW()+12*Painel!$Y$5)</f>
        <v>0.3936</v>
      </c>
      <c r="F30" s="11" t="n">
        <f aca="false">INDEX(F$1:F$72,ROW()+12*Painel!$Y$5)</f>
        <v>0.4542</v>
      </c>
    </row>
    <row r="31" customFormat="false" ht="15" hidden="false" customHeight="false" outlineLevel="0" collapsed="false">
      <c r="B31" s="15" t="s">
        <v>519</v>
      </c>
      <c r="D31" s="17" t="n">
        <f aca="false">INDEX(D$1:D$72,ROW()+12*Painel!$Y$5)</f>
        <v>218059.1355</v>
      </c>
      <c r="E31" s="17" t="n">
        <f aca="false">INDEX(E$1:E$72,ROW()+12*Painel!$Y$5)</f>
        <v>252946.661292807</v>
      </c>
      <c r="F31" s="17" t="n">
        <f aca="false">INDEX(F$1:F$72,ROW()+12*Painel!$Y$5)</f>
        <v>284018.872848175</v>
      </c>
    </row>
    <row r="32" customFormat="false" ht="15" hidden="false" customHeight="false" outlineLevel="0" collapsed="false">
      <c r="B32" s="15" t="s">
        <v>520</v>
      </c>
      <c r="D32" s="17" t="n">
        <f aca="false">INDEX(D$1:D$72,ROW()+12*Painel!$Y$5)</f>
        <v>32462.2701831158</v>
      </c>
      <c r="E32" s="17" t="n">
        <f aca="false">INDEX(E$1:E$72,ROW()+12*Painel!$Y$5)</f>
        <v>30650.8417840147</v>
      </c>
      <c r="F32" s="17" t="n">
        <f aca="false">INDEX(F$1:F$72,ROW()+12*Painel!$Y$5)</f>
        <v>33287.5562690417</v>
      </c>
    </row>
    <row r="33" customFormat="false" ht="15" hidden="false" customHeight="false" outlineLevel="0" collapsed="false">
      <c r="B33" s="15" t="s">
        <v>521</v>
      </c>
      <c r="D33" s="29" t="n">
        <f aca="false">INDEX(D$1:D$72,ROW()+12*Painel!$Y$5)</f>
        <v>0.934487891463087</v>
      </c>
      <c r="E33" s="29" t="n">
        <f aca="false">INDEX(E$1:E$72,ROW()+12*Painel!$Y$5)</f>
        <v>0.731280636486909</v>
      </c>
      <c r="F33" s="29" t="n">
        <f aca="false">INDEX(F$1:F$72,ROW()+12*Painel!$Y$5)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13</v>
      </c>
      <c r="E36" s="13" t="s">
        <v>8</v>
      </c>
      <c r="F36" s="13" t="s">
        <v>14</v>
      </c>
    </row>
    <row r="37" customFormat="false" ht="15" hidden="false" customHeight="false" outlineLevel="0" collapsed="false">
      <c r="B37" s="0" t="s">
        <v>24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30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32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399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17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518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519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520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521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13</v>
      </c>
      <c r="E48" s="13" t="s">
        <v>8</v>
      </c>
      <c r="F48" s="13" t="s">
        <v>14</v>
      </c>
    </row>
    <row r="49" customFormat="false" ht="15" hidden="false" customHeight="false" outlineLevel="0" collapsed="false">
      <c r="B49" s="0" t="s">
        <v>24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30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32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399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17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518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519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520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521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13</v>
      </c>
      <c r="E60" s="13" t="s">
        <v>8</v>
      </c>
      <c r="F60" s="13" t="s">
        <v>14</v>
      </c>
    </row>
    <row r="61" customFormat="false" ht="15" hidden="false" customHeight="false" outlineLevel="0" collapsed="false">
      <c r="B61" s="0" t="s">
        <v>24</v>
      </c>
      <c r="D61" s="16" t="n">
        <v>11.4949241466429</v>
      </c>
      <c r="E61" s="16" t="n">
        <v>21.3835729098938</v>
      </c>
      <c r="F61" s="16" t="n">
        <v>40.8409931438173</v>
      </c>
    </row>
    <row r="62" customFormat="false" ht="15" hidden="false" customHeight="false" outlineLevel="0" collapsed="false">
      <c r="B62" s="0" t="s">
        <v>30</v>
      </c>
      <c r="D62" s="17" t="n">
        <v>27173.5950831609</v>
      </c>
      <c r="E62" s="17" t="n">
        <v>46586.798495389</v>
      </c>
      <c r="F62" s="17" t="n">
        <v>84785.2284246752</v>
      </c>
    </row>
    <row r="63" customFormat="false" ht="15" hidden="false" customHeight="false" outlineLevel="0" collapsed="false">
      <c r="B63" s="0" t="s">
        <v>32</v>
      </c>
      <c r="D63" s="17" t="n">
        <v>22566.6120831609</v>
      </c>
      <c r="E63" s="17" t="n">
        <v>41979.815495389</v>
      </c>
      <c r="F63" s="17" t="n">
        <v>80178.2454246751</v>
      </c>
    </row>
    <row r="64" customFormat="false" ht="15" hidden="false" customHeight="false" outlineLevel="0" collapsed="false">
      <c r="B64" s="0" t="s">
        <v>399</v>
      </c>
      <c r="D64" s="11" t="n">
        <v>0.160612848641</v>
      </c>
      <c r="E64" s="11" t="n">
        <v>0.145012848641</v>
      </c>
      <c r="F64" s="11" t="n">
        <v>0.129412848641</v>
      </c>
    </row>
    <row r="65" customFormat="false" ht="15" hidden="false" customHeight="false" outlineLevel="0" collapsed="false">
      <c r="B65" s="0" t="s">
        <v>17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518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519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520</v>
      </c>
      <c r="D68" s="17" t="n">
        <v>11133.5419715542</v>
      </c>
      <c r="E68" s="17" t="n">
        <v>12136.9580127926</v>
      </c>
      <c r="F68" s="17" t="n">
        <v>16436.5845311779</v>
      </c>
    </row>
    <row r="69" customFormat="false" ht="15" hidden="false" customHeight="false" outlineLevel="0" collapsed="false">
      <c r="B69" s="0" t="s">
        <v>521</v>
      </c>
      <c r="D69" s="29" t="n">
        <v>0.271773210330905</v>
      </c>
      <c r="E69" s="29" t="n">
        <v>0.128627042958816</v>
      </c>
      <c r="F69" s="29" t="n">
        <v>-0.102078460937666</v>
      </c>
    </row>
    <row r="73" customFormat="false" ht="15" hidden="false" customHeight="false" outlineLevel="0" collapsed="false">
      <c r="B73" s="0" t="s">
        <v>522</v>
      </c>
      <c r="D73" s="25" t="n">
        <f aca="false">'Valor justo'!D29</f>
        <v>84.0693882403208</v>
      </c>
    </row>
    <row r="74" customFormat="false" ht="15" hidden="false" customHeight="false" outlineLevel="0" collapsed="false">
      <c r="B74" s="0" t="s">
        <v>523</v>
      </c>
      <c r="D74" s="30" t="n">
        <f aca="false">IF(COUNT(Painel!$G$10:$G$12)=0,ROUND(D73-INDEX(D25:F25,Painel!$Y$9),2),"-")</f>
        <v>0</v>
      </c>
      <c r="I74" s="2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7" min="3" style="0" width="13"/>
  </cols>
  <sheetData>
    <row r="1" customFormat="false" ht="17.35" hidden="false" customHeight="false" outlineLevel="0" collapsed="false">
      <c r="B1" s="1" t="s">
        <v>525</v>
      </c>
    </row>
    <row r="2" customFormat="false" ht="15" hidden="false" customHeight="false" outlineLevel="0" collapsed="false">
      <c r="B2" s="2" t="s">
        <v>526</v>
      </c>
    </row>
    <row r="4" customFormat="false" ht="15" hidden="false" customHeight="false" outlineLevel="0" collapsed="false">
      <c r="C4" s="4" t="s">
        <v>527</v>
      </c>
      <c r="F4" s="4" t="s">
        <v>528</v>
      </c>
    </row>
    <row r="5" customFormat="false" ht="15" hidden="false" customHeight="false" outlineLevel="0" collapsed="false">
      <c r="B5" s="8" t="s">
        <v>529</v>
      </c>
      <c r="C5" s="9" t="s">
        <v>530</v>
      </c>
      <c r="D5" s="9" t="s">
        <v>531</v>
      </c>
      <c r="E5" s="9" t="s">
        <v>532</v>
      </c>
      <c r="F5" s="9" t="s">
        <v>530</v>
      </c>
      <c r="G5" s="9" t="s">
        <v>531</v>
      </c>
      <c r="H5" s="9" t="s">
        <v>532</v>
      </c>
    </row>
    <row r="6" customFormat="false" ht="15" hidden="false" customHeight="false" outlineLevel="0" collapsed="false">
      <c r="B6" s="0" t="s">
        <v>5</v>
      </c>
      <c r="C6" s="30" t="n">
        <f aca="false">CORREL(L$23:L$90,J$23:J$90)</f>
        <v>0.695569671834779</v>
      </c>
      <c r="D6" s="30" t="n">
        <f aca="false">SLOPE(L$23:L$90,J$23:J$90)</f>
        <v>0.555646644851154</v>
      </c>
      <c r="E6" s="11" t="n">
        <f aca="false">RSQ(L$23:L$90,J$23:J$90)</f>
        <v>0.483817168376342</v>
      </c>
      <c r="F6" s="30" t="n">
        <f aca="false">CORREL(L$23:L$90,K$23:K$90)</f>
        <v>0.626695324628648</v>
      </c>
      <c r="G6" s="30" t="n">
        <f aca="false">SLOPE(L$23:L$90,K$23:K$90)</f>
        <v>0.528583337141365</v>
      </c>
      <c r="H6" s="11" t="n">
        <f aca="false">RSQ(L$23:L$90,K$23:K$90)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CORREL(M$23:M$90,J$23:J$90)</f>
        <v>0.545652940652634</v>
      </c>
      <c r="D7" s="30" t="n">
        <f aca="false">SLOPE(M$23:M$90,J$23:J$90)</f>
        <v>0.722692690527218</v>
      </c>
      <c r="E7" s="11" t="n">
        <f aca="false">RSQ(M$23:M$90,J$23:J$90)</f>
        <v>0.297737131642867</v>
      </c>
      <c r="F7" s="30" t="n">
        <f aca="false">CORREL(M$23:M$90,K$23:K$90)</f>
        <v>0.483594179630479</v>
      </c>
      <c r="G7" s="30" t="n">
        <f aca="false">SLOPE(M$23:M$90,K$23:K$90)</f>
        <v>0.676265422472195</v>
      </c>
      <c r="H7" s="11" t="n">
        <f aca="false">RSQ(M$23:M$90,K$23:K$90)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CORREL(N$23:N$90,J$23:J$90)</f>
        <v>0.369274990276257</v>
      </c>
      <c r="D8" s="30" t="n">
        <f aca="false">SLOPE(N$23:N$90,J$23:J$90)</f>
        <v>0.300623659948256</v>
      </c>
      <c r="E8" s="11" t="n">
        <f aca="false">RSQ(N$23:N$90,J$23:J$90)</f>
        <v>0.13636401844353</v>
      </c>
      <c r="F8" s="30" t="n">
        <f aca="false">CORREL(N$23:N$90,K$23:K$90)</f>
        <v>0.340259237280351</v>
      </c>
      <c r="G8" s="30" t="n">
        <f aca="false">SLOPE(N$23:N$90,K$23:K$90)</f>
        <v>0.292470549951059</v>
      </c>
      <c r="H8" s="11" t="n">
        <f aca="false">RSQ(N$23:N$90,K$23:K$90)</f>
        <v>0.115776348554606</v>
      </c>
    </row>
    <row r="9" customFormat="false" ht="15" hidden="false" customHeight="false" outlineLevel="0" collapsed="false">
      <c r="B9" s="4" t="str">
        <f aca="false">"Escolhida: "&amp;Painel!$D$5</f>
        <v>Escolhida: Vale (VALE3)</v>
      </c>
      <c r="C9" s="42" t="n">
        <f aca="false">INDEX(C6:C8,Painel!$Y$5)</f>
        <v>0.695569671834779</v>
      </c>
      <c r="D9" s="42" t="n">
        <f aca="false">INDEX(D6:D8,Painel!$Y$5)</f>
        <v>0.555646644851154</v>
      </c>
      <c r="E9" s="10" t="n">
        <f aca="false">INDEX(E6:E8,Painel!$Y$5)</f>
        <v>0.483817168376342</v>
      </c>
      <c r="F9" s="42" t="n">
        <f aca="false">INDEX(F6:F8,Painel!$Y$5)</f>
        <v>0.626695324628648</v>
      </c>
      <c r="G9" s="42" t="n">
        <f aca="false">INDEX(G6:G8,Painel!$Y$5)</f>
        <v>0.528583337141365</v>
      </c>
      <c r="H9" s="10" t="n">
        <f aca="false">INDEX(H6:H8,Painel!$Y$5)</f>
        <v>0.392747029911407</v>
      </c>
    </row>
    <row r="11" customFormat="false" ht="15" hidden="false" customHeight="false" outlineLevel="0" collapsed="false">
      <c r="B11" s="2" t="s">
        <v>533</v>
      </c>
    </row>
    <row r="12" customFormat="false" ht="15" hidden="false" customHeight="false" outlineLevel="0" collapsed="false">
      <c r="B12" s="2" t="s">
        <v>534</v>
      </c>
    </row>
    <row r="13" customFormat="false" ht="15" hidden="false" customHeight="false" outlineLevel="0" collapsed="false">
      <c r="B13" s="2" t="s">
        <v>535</v>
      </c>
    </row>
    <row r="14" customFormat="false" ht="15" hidden="false" customHeight="false" outlineLevel="0" collapsed="false">
      <c r="B14" s="2" t="s">
        <v>536</v>
      </c>
    </row>
    <row r="15" customFormat="false" ht="15" hidden="false" customHeight="false" outlineLevel="0" collapsed="false">
      <c r="B15" s="2" t="s">
        <v>537</v>
      </c>
    </row>
    <row r="21" customFormat="false" ht="31.5" hidden="false" customHeight="true" outlineLevel="0" collapsed="false">
      <c r="B21" s="43" t="s">
        <v>538</v>
      </c>
      <c r="C21" s="43" t="s">
        <v>539</v>
      </c>
      <c r="D21" s="43" t="s">
        <v>540</v>
      </c>
      <c r="E21" s="43" t="s">
        <v>541</v>
      </c>
      <c r="F21" s="43" t="s">
        <v>542</v>
      </c>
      <c r="G21" s="43" t="s">
        <v>543</v>
      </c>
      <c r="H21" s="43" t="s">
        <v>544</v>
      </c>
      <c r="I21" s="43" t="s">
        <v>545</v>
      </c>
      <c r="J21" s="43" t="s">
        <v>546</v>
      </c>
      <c r="K21" s="43" t="s">
        <v>547</v>
      </c>
      <c r="L21" s="43" t="s">
        <v>548</v>
      </c>
      <c r="M21" s="43" t="s">
        <v>549</v>
      </c>
      <c r="N21" s="43" t="s">
        <v>550</v>
      </c>
      <c r="O21" s="43" t="s">
        <v>551</v>
      </c>
      <c r="P21" s="43" t="s">
        <v>552</v>
      </c>
      <c r="Q21" s="43" t="s">
        <v>553</v>
      </c>
    </row>
    <row r="22" customFormat="false" ht="15" hidden="false" customHeight="false" outlineLevel="0" collapsed="false">
      <c r="B22" s="0" t="s">
        <v>554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21.8600877192983</v>
      </c>
      <c r="I22" s="30" t="n">
        <f aca="false">CHOOSE(Painel!$Y$5,F22,G22,H22)</f>
        <v>94.7552631578947</v>
      </c>
      <c r="P22" s="44" t="n">
        <f aca="false">C22/C$22*100</f>
        <v>100</v>
      </c>
      <c r="Q22" s="44" t="n">
        <f aca="false">I22/I$22*100</f>
        <v>100</v>
      </c>
    </row>
    <row r="23" customFormat="false" ht="15" hidden="false" customHeight="false" outlineLevel="0" collapsed="false">
      <c r="B23" s="0" t="s">
        <v>555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20.3916666666667</v>
      </c>
      <c r="I23" s="30" t="n">
        <f aca="false">CHOOSE(Painel!$Y$5,F23,G23,H23)</f>
        <v>94.0705555555556</v>
      </c>
      <c r="J23" s="11" t="n">
        <f aca="false">C23/C22-1</f>
        <v>-0.0341981132075471</v>
      </c>
      <c r="K23" s="11" t="n">
        <f aca="false">E23/E22-1</f>
        <v>-0.0233251335253872</v>
      </c>
      <c r="L23" s="11" t="n">
        <f aca="false">F23/F22-1</f>
        <v>-0.00722606406778925</v>
      </c>
      <c r="M23" s="11" t="n">
        <f aca="false">G23/G22-1</f>
        <v>-0.0337036702193561</v>
      </c>
      <c r="N23" s="11" t="n">
        <f aca="false">H23/H22-1</f>
        <v>-0.0671736120864349</v>
      </c>
      <c r="O23" s="11" t="n">
        <f aca="false">I23/I22-1</f>
        <v>-0.00722606406778925</v>
      </c>
      <c r="P23" s="44" t="n">
        <f aca="false">C23/C$22*100</f>
        <v>96.5801886792453</v>
      </c>
      <c r="Q23" s="44" t="n">
        <f aca="false">I23/I$22*100</f>
        <v>99.2773935932211</v>
      </c>
    </row>
    <row r="24" customFormat="false" ht="15" hidden="false" customHeight="false" outlineLevel="0" collapsed="false">
      <c r="B24" s="0" t="s">
        <v>556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23.2286231884058</v>
      </c>
      <c r="I24" s="30" t="n">
        <f aca="false">CHOOSE(Painel!$Y$5,F24,G24,H24)</f>
        <v>97.0765217391304</v>
      </c>
      <c r="J24" s="11" t="n">
        <f aca="false">C24/C23-1</f>
        <v>0.0268620268620268</v>
      </c>
      <c r="K24" s="11" t="n">
        <f aca="false">E24/E23-1</f>
        <v>0.0703896778114446</v>
      </c>
      <c r="L24" s="11" t="n">
        <f aca="false">F24/F23-1</f>
        <v>0.0319543789852463</v>
      </c>
      <c r="M24" s="11" t="n">
        <f aca="false">G24/G23-1</f>
        <v>0.058648491206877</v>
      </c>
      <c r="N24" s="11" t="n">
        <f aca="false">H24/H23-1</f>
        <v>0.139123327588351</v>
      </c>
      <c r="O24" s="11" t="n">
        <f aca="false">I24/I23-1</f>
        <v>0.0319543789852463</v>
      </c>
      <c r="P24" s="44" t="n">
        <f aca="false">C24/C$22*100</f>
        <v>99.1745283018868</v>
      </c>
      <c r="Q24" s="44" t="n">
        <f aca="false">I24/I$22*100</f>
        <v>102.449741052766</v>
      </c>
    </row>
    <row r="25" customFormat="false" ht="15" hidden="false" customHeight="false" outlineLevel="0" collapsed="false">
      <c r="B25" s="0" t="s">
        <v>557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26.87125</v>
      </c>
      <c r="I25" s="30" t="n">
        <f aca="false">CHOOSE(Painel!$Y$5,F25,G25,H25)</f>
        <v>106.272</v>
      </c>
      <c r="J25" s="11" t="n">
        <f aca="false">C25/C24-1</f>
        <v>0.0689655172413795</v>
      </c>
      <c r="K25" s="11" t="n">
        <f aca="false">E25/E24-1</f>
        <v>0.0530619548800546</v>
      </c>
      <c r="L25" s="11" t="n">
        <f aca="false">F25/F24-1</f>
        <v>0.0947240187033089</v>
      </c>
      <c r="M25" s="11" t="n">
        <f aca="false">G25/G24-1</f>
        <v>0.278303298735748</v>
      </c>
      <c r="N25" s="11" t="n">
        <f aca="false">H25/H24-1</f>
        <v>0.156816302974528</v>
      </c>
      <c r="O25" s="11" t="n">
        <f aca="false">I25/I24-1</f>
        <v>0.0947240187033089</v>
      </c>
      <c r="P25" s="44" t="n">
        <f aca="false">C25/C$22*100</f>
        <v>106.014150943396</v>
      </c>
      <c r="Q25" s="44" t="n">
        <f aca="false">I25/I$22*100</f>
        <v>112.154192240398</v>
      </c>
    </row>
    <row r="26" customFormat="false" ht="15" hidden="false" customHeight="false" outlineLevel="0" collapsed="false">
      <c r="B26" s="0" t="s">
        <v>558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28.7345238095238</v>
      </c>
      <c r="I26" s="30" t="n">
        <f aca="false">CHOOSE(Painel!$Y$5,F26,G26,H26)</f>
        <v>112.179523809524</v>
      </c>
      <c r="J26" s="11" t="n">
        <f aca="false">C26/C25-1</f>
        <v>0.155172413793103</v>
      </c>
      <c r="K26" s="11" t="n">
        <f aca="false">E26/E25-1</f>
        <v>0.098889404832831</v>
      </c>
      <c r="L26" s="11" t="n">
        <f aca="false">F26/F25-1</f>
        <v>0.0555887139559226</v>
      </c>
      <c r="M26" s="11" t="n">
        <f aca="false">G26/G25-1</f>
        <v>0.0427795778964883</v>
      </c>
      <c r="N26" s="11" t="n">
        <f aca="false">H26/H25-1</f>
        <v>0.0693407939535307</v>
      </c>
      <c r="O26" s="11" t="n">
        <f aca="false">I26/I25-1</f>
        <v>0.0555887139559226</v>
      </c>
      <c r="P26" s="44" t="n">
        <f aca="false">C26/C$22*100</f>
        <v>122.464622641509</v>
      </c>
      <c r="Q26" s="44" t="n">
        <f aca="false">I26/I$22*100</f>
        <v>118.388699551807</v>
      </c>
    </row>
    <row r="27" customFormat="false" ht="15" hidden="false" customHeight="false" outlineLevel="0" collapsed="false">
      <c r="B27" s="0" t="s">
        <v>559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25.952380952381</v>
      </c>
      <c r="I27" s="30" t="n">
        <f aca="false">CHOOSE(Painel!$Y$5,F27,G27,H27)</f>
        <v>111.605714285714</v>
      </c>
      <c r="J27" s="11" t="n">
        <f aca="false">C27/C26-1</f>
        <v>0.0322580645161292</v>
      </c>
      <c r="K27" s="11" t="n">
        <f aca="false">E27/E26-1</f>
        <v>-0.0183101141844397</v>
      </c>
      <c r="L27" s="11" t="n">
        <f aca="false">F27/F26-1</f>
        <v>-0.00511510037057927</v>
      </c>
      <c r="M27" s="11" t="n">
        <f aca="false">G27/G26-1</f>
        <v>-0.0762124711316398</v>
      </c>
      <c r="N27" s="11" t="n">
        <f aca="false">H27/H26-1</f>
        <v>-0.0968223060032317</v>
      </c>
      <c r="O27" s="11" t="n">
        <f aca="false">I27/I26-1</f>
        <v>-0.00511510037057927</v>
      </c>
      <c r="P27" s="44" t="n">
        <f aca="false">C27/C$22*100</f>
        <v>126.415094339623</v>
      </c>
      <c r="Q27" s="44" t="n">
        <f aca="false">I27/I$22*100</f>
        <v>117.783129470857</v>
      </c>
    </row>
    <row r="28" customFormat="false" ht="15" hidden="false" customHeight="false" outlineLevel="0" collapsed="false">
      <c r="B28" s="0" t="s">
        <v>560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25.1444444444444</v>
      </c>
      <c r="I28" s="30" t="n">
        <f aca="false">CHOOSE(Painel!$Y$5,F28,G28,H28)</f>
        <v>114.060476190476</v>
      </c>
      <c r="J28" s="11" t="n">
        <f aca="false">C28/C27-1</f>
        <v>-0.00139925373134331</v>
      </c>
      <c r="K28" s="11" t="n">
        <f aca="false">E28/E27-1</f>
        <v>0.0233678070477514</v>
      </c>
      <c r="L28" s="11" t="n">
        <f aca="false">F28/F27-1</f>
        <v>0.0219949482020037</v>
      </c>
      <c r="M28" s="11" t="n">
        <f aca="false">G28/G27-1</f>
        <v>0.038874458874459</v>
      </c>
      <c r="N28" s="11" t="n">
        <f aca="false">H28/H27-1</f>
        <v>-0.0311314984709481</v>
      </c>
      <c r="O28" s="11" t="n">
        <f aca="false">I28/I27-1</f>
        <v>0.0219949482020037</v>
      </c>
      <c r="P28" s="44" t="n">
        <f aca="false">C28/C$22*100</f>
        <v>126.23820754717</v>
      </c>
      <c r="Q28" s="44" t="n">
        <f aca="false">I28/I$22*100</f>
        <v>120.373763302638</v>
      </c>
    </row>
    <row r="29" customFormat="false" ht="15" hidden="false" customHeight="false" outlineLevel="0" collapsed="false">
      <c r="B29" s="0" t="s">
        <v>561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24.8958333333333</v>
      </c>
      <c r="I29" s="30" t="n">
        <f aca="false">CHOOSE(Painel!$Y$5,F29,G29,H29)</f>
        <v>104.82</v>
      </c>
      <c r="J29" s="11" t="n">
        <f aca="false">C29/C28-1</f>
        <v>-0.242410088743578</v>
      </c>
      <c r="K29" s="11" t="n">
        <f aca="false">E29/E28-1</f>
        <v>-0.228453286608616</v>
      </c>
      <c r="L29" s="11" t="n">
        <f aca="false">F29/F28-1</f>
        <v>-0.0810138314261024</v>
      </c>
      <c r="M29" s="11" t="n">
        <f aca="false">G29/G28-1</f>
        <v>-0.111940199562085</v>
      </c>
      <c r="N29" s="11" t="n">
        <f aca="false">H29/H28-1</f>
        <v>-0.00988731771984042</v>
      </c>
      <c r="O29" s="11" t="n">
        <f aca="false">I29/I28-1</f>
        <v>-0.0810138314261024</v>
      </c>
      <c r="P29" s="44" t="n">
        <f aca="false">C29/C$22*100</f>
        <v>95.6367924528302</v>
      </c>
      <c r="Q29" s="44" t="n">
        <f aca="false">I29/I$22*100</f>
        <v>110.621823534313</v>
      </c>
    </row>
    <row r="30" customFormat="false" ht="15" hidden="false" customHeight="false" outlineLevel="0" collapsed="false">
      <c r="B30" s="0" t="s">
        <v>562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22.1805555555556</v>
      </c>
      <c r="I30" s="30" t="n">
        <f aca="false">CHOOSE(Painel!$Y$5,F30,G30,H30)</f>
        <v>88.0528571428572</v>
      </c>
      <c r="J30" s="11" t="n">
        <f aca="false">C30/C29-1</f>
        <v>-0.232429099876695</v>
      </c>
      <c r="K30" s="11" t="n">
        <f aca="false">E30/E29-1</f>
        <v>-0.228336713563035</v>
      </c>
      <c r="L30" s="11" t="n">
        <f aca="false">F30/F29-1</f>
        <v>-0.159961294191403</v>
      </c>
      <c r="M30" s="11" t="n">
        <f aca="false">G30/G29-1</f>
        <v>-0.224954756945888</v>
      </c>
      <c r="N30" s="11" t="n">
        <f aca="false">H30/H29-1</f>
        <v>-0.109065550906555</v>
      </c>
      <c r="O30" s="11" t="n">
        <f aca="false">I30/I29-1</f>
        <v>-0.159961294191403</v>
      </c>
      <c r="P30" s="44" t="n">
        <f aca="false">C30/C$22*100</f>
        <v>73.4080188679245</v>
      </c>
      <c r="Q30" s="44" t="n">
        <f aca="false">I30/I$22*100</f>
        <v>92.9266134759511</v>
      </c>
    </row>
    <row r="31" customFormat="false" ht="15" hidden="false" customHeight="false" outlineLevel="0" collapsed="false">
      <c r="B31" s="0" t="s">
        <v>563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22.825</v>
      </c>
      <c r="I31" s="30" t="n">
        <f aca="false">CHOOSE(Painel!$Y$5,F31,G31,H31)</f>
        <v>77.156</v>
      </c>
      <c r="J31" s="11" t="n">
        <f aca="false">C31/C30-1</f>
        <v>-0.0128514056224899</v>
      </c>
      <c r="K31" s="11" t="n">
        <f aca="false">E31/E30-1</f>
        <v>0.0358170374929268</v>
      </c>
      <c r="L31" s="11" t="n">
        <f aca="false">F31/F30-1</f>
        <v>-0.12375358956471</v>
      </c>
      <c r="M31" s="11" t="n">
        <f aca="false">G31/G30-1</f>
        <v>-0.160301952474648</v>
      </c>
      <c r="N31" s="11" t="n">
        <f aca="false">H31/H30-1</f>
        <v>0.0290544771446459</v>
      </c>
      <c r="O31" s="11" t="n">
        <f aca="false">I31/I30-1</f>
        <v>-0.12375358956471</v>
      </c>
      <c r="P31" s="44" t="n">
        <f aca="false">C31/C$22*100</f>
        <v>72.4646226415094</v>
      </c>
      <c r="Q31" s="44" t="n">
        <f aca="false">I31/I$22*100</f>
        <v>81.4266114922099</v>
      </c>
    </row>
    <row r="32" customFormat="false" ht="15" hidden="false" customHeight="false" outlineLevel="0" collapsed="false">
      <c r="B32" s="0" t="s">
        <v>564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21.0170833333333</v>
      </c>
      <c r="I32" s="30" t="n">
        <f aca="false">CHOOSE(Painel!$Y$5,F32,G32,H32)</f>
        <v>67.4545</v>
      </c>
      <c r="J32" s="11" t="n">
        <f aca="false">C32/C31-1</f>
        <v>-0.217249796582587</v>
      </c>
      <c r="K32" s="11" t="n">
        <f aca="false">E32/E31-1</f>
        <v>-0.214861984590213</v>
      </c>
      <c r="L32" s="11" t="n">
        <f aca="false">F32/F31-1</f>
        <v>-0.125738763025559</v>
      </c>
      <c r="M32" s="11" t="n">
        <f aca="false">G32/G31-1</f>
        <v>-0.171622158714537</v>
      </c>
      <c r="N32" s="11" t="n">
        <f aca="false">H32/H31-1</f>
        <v>-0.0792077400511133</v>
      </c>
      <c r="O32" s="11" t="n">
        <f aca="false">I32/I31-1</f>
        <v>-0.125738763025559</v>
      </c>
      <c r="P32" s="44" t="n">
        <f aca="false">C32/C$22*100</f>
        <v>56.7216981132076</v>
      </c>
      <c r="Q32" s="44" t="n">
        <f aca="false">I32/I$22*100</f>
        <v>71.1881300858167</v>
      </c>
    </row>
    <row r="33" customFormat="false" ht="15" hidden="false" customHeight="false" outlineLevel="0" collapsed="false">
      <c r="B33" s="0" t="s">
        <v>565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23.4730158730159</v>
      </c>
      <c r="I33" s="30" t="n">
        <f aca="false">CHOOSE(Painel!$Y$5,F33,G33,H33)</f>
        <v>76.9361904761905</v>
      </c>
      <c r="J33" s="11" t="n">
        <f aca="false">C33/C32-1</f>
        <v>0.216216216216216</v>
      </c>
      <c r="K33" s="11" t="n">
        <f aca="false">E33/E32-1</f>
        <v>0.236899048808567</v>
      </c>
      <c r="L33" s="11" t="n">
        <f aca="false">F33/F32-1</f>
        <v>0.140564239245573</v>
      </c>
      <c r="M33" s="11" t="n">
        <f aca="false">G33/G32-1</f>
        <v>0.115270755883975</v>
      </c>
      <c r="N33" s="11" t="n">
        <f aca="false">H33/H32-1</f>
        <v>0.116854108666325</v>
      </c>
      <c r="O33" s="11" t="n">
        <f aca="false">I33/I32-1</f>
        <v>0.140564239245573</v>
      </c>
      <c r="P33" s="44" t="n">
        <f aca="false">C33/C$22*100</f>
        <v>68.9858490566038</v>
      </c>
      <c r="Q33" s="44" t="n">
        <f aca="false">I33/I$22*100</f>
        <v>81.1946354346443</v>
      </c>
    </row>
    <row r="34" customFormat="false" ht="15" hidden="false" customHeight="false" outlineLevel="0" collapsed="false">
      <c r="B34" s="0" t="s">
        <v>566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23.2623015873016</v>
      </c>
      <c r="I34" s="30" t="n">
        <f aca="false">CHOOSE(Painel!$Y$5,F34,G34,H34)</f>
        <v>83.327619047619</v>
      </c>
      <c r="J34" s="11" t="n">
        <f aca="false">C34/C33-1</f>
        <v>0.132478632478632</v>
      </c>
      <c r="K34" s="11" t="n">
        <f aca="false">E34/E33-1</f>
        <v>0.108972997841243</v>
      </c>
      <c r="L34" s="11" t="n">
        <f aca="false">F34/F33-1</f>
        <v>0.0830744092197615</v>
      </c>
      <c r="M34" s="11" t="n">
        <f aca="false">G34/G33-1</f>
        <v>0.0370695541898354</v>
      </c>
      <c r="N34" s="11" t="n">
        <f aca="false">H34/H33-1</f>
        <v>-0.00897687314038398</v>
      </c>
      <c r="O34" s="11" t="n">
        <f aca="false">I34/I33-1</f>
        <v>0.0830744092197615</v>
      </c>
      <c r="P34" s="44" t="n">
        <f aca="false">C34/C$22*100</f>
        <v>78.125</v>
      </c>
      <c r="Q34" s="44" t="n">
        <f aca="false">I34/I$22*100</f>
        <v>87.9398318051913</v>
      </c>
    </row>
    <row r="35" customFormat="false" ht="15" hidden="false" customHeight="false" outlineLevel="0" collapsed="false">
      <c r="B35" s="0" t="s">
        <v>567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22.7447368421053</v>
      </c>
      <c r="I35" s="30" t="n">
        <f aca="false">CHOOSE(Painel!$Y$5,F35,G35,H35)</f>
        <v>88.6621052631579</v>
      </c>
      <c r="J35" s="11" t="n">
        <f aca="false">C35/C34-1</f>
        <v>0.0777358490566038</v>
      </c>
      <c r="K35" s="11" t="n">
        <f aca="false">E35/E34-1</f>
        <v>0.0120095613031113</v>
      </c>
      <c r="L35" s="11" t="n">
        <f aca="false">F35/F34-1</f>
        <v>0.0640182244075687</v>
      </c>
      <c r="M35" s="11" t="n">
        <f aca="false">G35/G34-1</f>
        <v>0.0368326988103314</v>
      </c>
      <c r="N35" s="11" t="n">
        <f aca="false">H35/H34-1</f>
        <v>-0.0222490772572069</v>
      </c>
      <c r="O35" s="11" t="n">
        <f aca="false">I35/I34-1</f>
        <v>0.0640182244075687</v>
      </c>
      <c r="P35" s="44" t="n">
        <f aca="false">C35/C$22*100</f>
        <v>84.1981132075472</v>
      </c>
      <c r="Q35" s="44" t="n">
        <f aca="false">I35/I$22*100</f>
        <v>93.5695836920599</v>
      </c>
    </row>
    <row r="36" customFormat="false" ht="15" hidden="false" customHeight="false" outlineLevel="0" collapsed="false">
      <c r="B36" s="0" t="s">
        <v>568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24.6018939393939</v>
      </c>
      <c r="I36" s="30" t="n">
        <f aca="false">CHOOSE(Painel!$Y$5,F36,G36,H36)</f>
        <v>96.4768181818182</v>
      </c>
      <c r="J36" s="11" t="n">
        <f aca="false">C36/C35-1</f>
        <v>0.0651260504201678</v>
      </c>
      <c r="K36" s="11" t="n">
        <f aca="false">E36/E35-1</f>
        <v>0.0183528208650967</v>
      </c>
      <c r="L36" s="11" t="n">
        <f aca="false">F36/F35-1</f>
        <v>0.0881403943146335</v>
      </c>
      <c r="M36" s="11" t="n">
        <f aca="false">G36/G35-1</f>
        <v>0.00874195994924354</v>
      </c>
      <c r="N36" s="11" t="n">
        <f aca="false">H36/H35-1</f>
        <v>0.081652169035022</v>
      </c>
      <c r="O36" s="11" t="n">
        <f aca="false">I36/I35-1</f>
        <v>0.0881403943146335</v>
      </c>
      <c r="P36" s="44" t="n">
        <f aca="false">C36/C$22*100</f>
        <v>89.6816037735849</v>
      </c>
      <c r="Q36" s="44" t="n">
        <f aca="false">I36/I$22*100</f>
        <v>101.816843694534</v>
      </c>
    </row>
    <row r="37" customFormat="false" ht="15" hidden="false" customHeight="false" outlineLevel="0" collapsed="false">
      <c r="B37" s="0" t="s">
        <v>569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24.2951754385965</v>
      </c>
      <c r="I37" s="30" t="n">
        <f aca="false">CHOOSE(Painel!$Y$5,F37,G37,H37)</f>
        <v>89.6073684210526</v>
      </c>
      <c r="J37" s="11" t="n">
        <f aca="false">C37/C36-1</f>
        <v>-0.00525969756738975</v>
      </c>
      <c r="K37" s="11" t="n">
        <f aca="false">E37/E36-1</f>
        <v>-0.0473845988699865</v>
      </c>
      <c r="L37" s="11" t="n">
        <f aca="false">F37/F36-1</f>
        <v>-0.0712031127293142</v>
      </c>
      <c r="M37" s="11" t="n">
        <f aca="false">G37/G36-1</f>
        <v>-0.0899784745680002</v>
      </c>
      <c r="N37" s="11" t="n">
        <f aca="false">H37/H36-1</f>
        <v>-0.012467271891873</v>
      </c>
      <c r="O37" s="11" t="n">
        <f aca="false">I37/I36-1</f>
        <v>-0.0712031127293142</v>
      </c>
      <c r="P37" s="44" t="n">
        <f aca="false">C37/C$22*100</f>
        <v>89.2099056603774</v>
      </c>
      <c r="Q37" s="44" t="n">
        <f aca="false">I37/I$22*100</f>
        <v>94.5671674952093</v>
      </c>
    </row>
    <row r="38" customFormat="false" ht="15" hidden="false" customHeight="false" outlineLevel="0" collapsed="false">
      <c r="B38" s="0" t="s">
        <v>570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23.325</v>
      </c>
      <c r="I38" s="30" t="n">
        <f aca="false">CHOOSE(Painel!$Y$5,F38,G38,H38)</f>
        <v>81.2122727272727</v>
      </c>
      <c r="J38" s="11" t="n">
        <f aca="false">C38/C37-1</f>
        <v>-0.132848645076008</v>
      </c>
      <c r="K38" s="11" t="n">
        <f aca="false">E38/E37-1</f>
        <v>-0.0969269275359662</v>
      </c>
      <c r="L38" s="11" t="n">
        <f aca="false">F38/F37-1</f>
        <v>-0.0936875598704394</v>
      </c>
      <c r="M38" s="11" t="n">
        <f aca="false">G38/G37-1</f>
        <v>-0.175400286784479</v>
      </c>
      <c r="N38" s="11" t="n">
        <f aca="false">H38/H37-1</f>
        <v>-0.0399328435000813</v>
      </c>
      <c r="O38" s="11" t="n">
        <f aca="false">I38/I37-1</f>
        <v>-0.0936875598704394</v>
      </c>
      <c r="P38" s="44" t="n">
        <f aca="false">C38/C$22*100</f>
        <v>77.3584905660377</v>
      </c>
      <c r="Q38" s="44" t="n">
        <f aca="false">I38/I$22*100</f>
        <v>85.707400328724</v>
      </c>
    </row>
    <row r="39" customFormat="false" ht="15" hidden="false" customHeight="false" outlineLevel="0" collapsed="false">
      <c r="B39" s="0" t="s">
        <v>571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21.5186507936508</v>
      </c>
      <c r="I39" s="30" t="n">
        <f aca="false">CHOOSE(Painel!$Y$5,F39,G39,H39)</f>
        <v>81.522380952381</v>
      </c>
      <c r="J39" s="11" t="n">
        <f aca="false">C39/C38-1</f>
        <v>-0.00381097560975607</v>
      </c>
      <c r="K39" s="11" t="n">
        <f aca="false">E39/E38-1</f>
        <v>0.015107186928865</v>
      </c>
      <c r="L39" s="11" t="n">
        <f aca="false">F39/F38-1</f>
        <v>0.00381848967765785</v>
      </c>
      <c r="M39" s="11" t="n">
        <f aca="false">G39/G38-1</f>
        <v>-0.0614215437919821</v>
      </c>
      <c r="N39" s="11" t="n">
        <f aca="false">H39/H38-1</f>
        <v>-0.077442624066418</v>
      </c>
      <c r="O39" s="11" t="n">
        <f aca="false">I39/I38-1</f>
        <v>0.00381848967765785</v>
      </c>
      <c r="P39" s="44" t="n">
        <f aca="false">C39/C$22*100</f>
        <v>77.063679245283</v>
      </c>
      <c r="Q39" s="44" t="n">
        <f aca="false">I39/I$22*100</f>
        <v>86.0346731521781</v>
      </c>
    </row>
    <row r="40" customFormat="false" ht="15" hidden="false" customHeight="false" outlineLevel="0" collapsed="false">
      <c r="B40" s="0" t="s">
        <v>572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19.4503968253968</v>
      </c>
      <c r="I40" s="30" t="n">
        <f aca="false">CHOOSE(Painel!$Y$5,F40,G40,H40)</f>
        <v>71.4876190476191</v>
      </c>
      <c r="J40" s="11" t="n">
        <f aca="false">C40/C39-1</f>
        <v>-0.169089517980107</v>
      </c>
      <c r="K40" s="11" t="n">
        <f aca="false">E40/E39-1</f>
        <v>-0.116610441548961</v>
      </c>
      <c r="L40" s="11" t="n">
        <f aca="false">F40/F39-1</f>
        <v>-0.123092110258942</v>
      </c>
      <c r="M40" s="11" t="n">
        <f aca="false">G40/G39-1</f>
        <v>-0.221217693329247</v>
      </c>
      <c r="N40" s="11" t="n">
        <f aca="false">H40/H39-1</f>
        <v>-0.0961144817157505</v>
      </c>
      <c r="O40" s="11" t="n">
        <f aca="false">I40/I39-1</f>
        <v>-0.123092110258942</v>
      </c>
      <c r="P40" s="44" t="n">
        <f aca="false">C40/C$22*100</f>
        <v>64.0330188679245</v>
      </c>
      <c r="Q40" s="44" t="n">
        <f aca="false">I40/I$22*100</f>
        <v>75.4444836784382</v>
      </c>
    </row>
    <row r="41" customFormat="false" ht="15" hidden="false" customHeight="false" outlineLevel="0" collapsed="false">
      <c r="B41" s="0" t="s">
        <v>573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20.3547101449275</v>
      </c>
      <c r="I41" s="30" t="n">
        <f aca="false">CHOOSE(Painel!$Y$5,F41,G41,H41)</f>
        <v>68.3078260869565</v>
      </c>
      <c r="J41" s="11" t="n">
        <f aca="false">C41/C40-1</f>
        <v>0.00276243093922668</v>
      </c>
      <c r="K41" s="11" t="n">
        <f aca="false">E41/E40-1</f>
        <v>-0.0392302656340746</v>
      </c>
      <c r="L41" s="11" t="n">
        <f aca="false">F41/F40-1</f>
        <v>-0.0444803310422804</v>
      </c>
      <c r="M41" s="11" t="n">
        <f aca="false">G41/G40-1</f>
        <v>0.0542187914372323</v>
      </c>
      <c r="N41" s="11" t="n">
        <f aca="false">H41/H40-1</f>
        <v>0.0464933095015279</v>
      </c>
      <c r="O41" s="11" t="n">
        <f aca="false">I41/I40-1</f>
        <v>-0.0444803310422804</v>
      </c>
      <c r="P41" s="44" t="n">
        <f aca="false">C41/C$22*100</f>
        <v>64.2099056603774</v>
      </c>
      <c r="Q41" s="44" t="n">
        <f aca="false">I41/I$22*100</f>
        <v>72.0886880691074</v>
      </c>
    </row>
    <row r="42" customFormat="false" ht="15" hidden="false" customHeight="false" outlineLevel="0" collapsed="false">
      <c r="B42" s="0" t="s">
        <v>574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19.8904761904762</v>
      </c>
      <c r="I42" s="30" t="n">
        <f aca="false">CHOOSE(Painel!$Y$5,F42,G42,H42)</f>
        <v>67.772380952381</v>
      </c>
      <c r="J42" s="11" t="n">
        <f aca="false">C42/C41-1</f>
        <v>-0.08356290174472</v>
      </c>
      <c r="K42" s="11" t="n">
        <f aca="false">E42/E41-1</f>
        <v>-0.0668673646174826</v>
      </c>
      <c r="L42" s="11" t="n">
        <f aca="false">F42/F41-1</f>
        <v>-0.00783870846502921</v>
      </c>
      <c r="M42" s="11" t="n">
        <f aca="false">G42/G41-1</f>
        <v>-0.147083605517529</v>
      </c>
      <c r="N42" s="11" t="n">
        <f aca="false">H42/H41-1</f>
        <v>-0.0228072004536523</v>
      </c>
      <c r="O42" s="11" t="n">
        <f aca="false">I42/I41-1</f>
        <v>-0.00783870846502921</v>
      </c>
      <c r="P42" s="44" t="n">
        <f aca="false">C42/C$22*100</f>
        <v>58.8443396226415</v>
      </c>
      <c r="Q42" s="44" t="n">
        <f aca="false">I42/I$22*100</f>
        <v>71.5236058597072</v>
      </c>
    </row>
    <row r="43" customFormat="false" ht="15" hidden="false" customHeight="false" outlineLevel="0" collapsed="false">
      <c r="B43" s="0" t="s">
        <v>575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21.64</v>
      </c>
      <c r="I43" s="30" t="n">
        <f aca="false">CHOOSE(Painel!$Y$5,F43,G43,H43)</f>
        <v>72.5035</v>
      </c>
      <c r="J43" s="11" t="n">
        <f aca="false">C43/C42-1</f>
        <v>-0.0721442885771544</v>
      </c>
      <c r="K43" s="11" t="n">
        <f aca="false">E43/E42-1</f>
        <v>-0.0697878858729489</v>
      </c>
      <c r="L43" s="11" t="n">
        <f aca="false">F43/F42-1</f>
        <v>0.0698089543429687</v>
      </c>
      <c r="M43" s="11" t="n">
        <f aca="false">G43/G42-1</f>
        <v>0.0243426091396475</v>
      </c>
      <c r="N43" s="11" t="n">
        <f aca="false">H43/H42-1</f>
        <v>0.0879578644960499</v>
      </c>
      <c r="O43" s="11" t="n">
        <f aca="false">I43/I42-1</f>
        <v>0.0698089543429687</v>
      </c>
      <c r="P43" s="44" t="n">
        <f aca="false">C43/C$22*100</f>
        <v>54.5990566037736</v>
      </c>
      <c r="Q43" s="44" t="n">
        <f aca="false">I43/I$22*100</f>
        <v>76.516593995612</v>
      </c>
    </row>
    <row r="44" customFormat="false" ht="15" hidden="false" customHeight="false" outlineLevel="0" collapsed="false">
      <c r="B44" s="0" t="s">
        <v>576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24.25875</v>
      </c>
      <c r="I44" s="30" t="n">
        <f aca="false">CHOOSE(Painel!$Y$5,F44,G44,H44)</f>
        <v>78.448</v>
      </c>
      <c r="J44" s="11" t="n">
        <f aca="false">C44/C43-1</f>
        <v>0.00755939524838012</v>
      </c>
      <c r="K44" s="11" t="n">
        <f aca="false">E44/E43-1</f>
        <v>0.0122418799147916</v>
      </c>
      <c r="L44" s="11" t="n">
        <f aca="false">F44/F43-1</f>
        <v>0.0819891453516037</v>
      </c>
      <c r="M44" s="11" t="n">
        <f aca="false">G44/G43-1</f>
        <v>0.0509925604695503</v>
      </c>
      <c r="N44" s="11" t="n">
        <f aca="false">H44/H43-1</f>
        <v>0.121014325323475</v>
      </c>
      <c r="O44" s="11" t="n">
        <f aca="false">I44/I43-1</f>
        <v>0.0819891453516037</v>
      </c>
      <c r="P44" s="44" t="n">
        <f aca="false">C44/C$22*100</f>
        <v>55.0117924528302</v>
      </c>
      <c r="Q44" s="44" t="n">
        <f aca="false">I44/I$22*100</f>
        <v>82.7901241425279</v>
      </c>
    </row>
    <row r="45" customFormat="false" ht="15" hidden="false" customHeight="false" outlineLevel="0" collapsed="false">
      <c r="B45" s="0" t="s">
        <v>577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25.2531746031746</v>
      </c>
      <c r="I45" s="30" t="n">
        <f aca="false">CHOOSE(Painel!$Y$5,F45,G45,H45)</f>
        <v>86.7957142857143</v>
      </c>
      <c r="J45" s="11" t="n">
        <f aca="false">C45/C44-1</f>
        <v>0.198285101822079</v>
      </c>
      <c r="K45" s="11" t="n">
        <f aca="false">E45/E44-1</f>
        <v>0.190947317912311</v>
      </c>
      <c r="L45" s="11" t="n">
        <f aca="false">F45/F44-1</f>
        <v>0.10641079805367</v>
      </c>
      <c r="M45" s="11" t="n">
        <f aca="false">G45/G44-1</f>
        <v>0.0164082707034368</v>
      </c>
      <c r="N45" s="11" t="n">
        <f aca="false">H45/H44-1</f>
        <v>0.0409924090554794</v>
      </c>
      <c r="O45" s="11" t="n">
        <f aca="false">I45/I44-1</f>
        <v>0.10641079805367</v>
      </c>
      <c r="P45" s="44" t="n">
        <f aca="false">C45/C$22*100</f>
        <v>65.9198113207547</v>
      </c>
      <c r="Q45" s="44" t="n">
        <f aca="false">I45/I$22*100</f>
        <v>91.5998873234966</v>
      </c>
    </row>
    <row r="46" customFormat="false" ht="15" hidden="false" customHeight="false" outlineLevel="0" collapsed="false">
      <c r="B46" s="0" t="s">
        <v>578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26.5265151515152</v>
      </c>
      <c r="I46" s="30" t="n">
        <f aca="false">CHOOSE(Painel!$Y$5,F46,G46,H46)</f>
        <v>93.2804545454546</v>
      </c>
      <c r="J46" s="11" t="n">
        <f aca="false">C46/C45-1</f>
        <v>0.0930232558139534</v>
      </c>
      <c r="K46" s="11" t="n">
        <f aca="false">E46/E45-1</f>
        <v>0.0843289421851878</v>
      </c>
      <c r="L46" s="11" t="n">
        <f aca="false">F46/F45-1</f>
        <v>0.0747126780752536</v>
      </c>
      <c r="M46" s="11" t="n">
        <f aca="false">G46/G45-1</f>
        <v>0.185999581859996</v>
      </c>
      <c r="N46" s="11" t="n">
        <f aca="false">H46/H45-1</f>
        <v>0.0504229891231365</v>
      </c>
      <c r="O46" s="11" t="n">
        <f aca="false">I46/I45-1</f>
        <v>0.0747126780752536</v>
      </c>
      <c r="P46" s="44" t="n">
        <f aca="false">C46/C$22*100</f>
        <v>72.0518867924528</v>
      </c>
      <c r="Q46" s="44" t="n">
        <f aca="false">I46/I$22*100</f>
        <v>98.4435602168265</v>
      </c>
    </row>
    <row r="47" customFormat="false" ht="15" hidden="false" customHeight="false" outlineLevel="0" collapsed="false">
      <c r="B47" s="0" t="s">
        <v>579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24.4782407407407</v>
      </c>
      <c r="I47" s="30" t="n">
        <f aca="false">CHOOSE(Painel!$Y$5,F47,G47,H47)</f>
        <v>87.8588888888889</v>
      </c>
      <c r="J47" s="11" t="n">
        <f aca="false">C47/C46-1</f>
        <v>0.0441898527004909</v>
      </c>
      <c r="K47" s="11" t="n">
        <f aca="false">E47/E46-1</f>
        <v>0.038367270023483</v>
      </c>
      <c r="L47" s="11" t="n">
        <f aca="false">F47/F46-1</f>
        <v>-0.0581211324814438</v>
      </c>
      <c r="M47" s="11" t="n">
        <f aca="false">G47/G46-1</f>
        <v>0.0210430936328248</v>
      </c>
      <c r="N47" s="11" t="n">
        <f aca="false">H47/H46-1</f>
        <v>-0.0772161137290367</v>
      </c>
      <c r="O47" s="11" t="n">
        <f aca="false">I47/I46-1</f>
        <v>-0.0581211324814438</v>
      </c>
      <c r="P47" s="44" t="n">
        <f aca="false">C47/C$22*100</f>
        <v>75.2358490566038</v>
      </c>
      <c r="Q47" s="44" t="n">
        <f aca="false">I47/I$22*100</f>
        <v>92.7219090115194</v>
      </c>
    </row>
    <row r="48" customFormat="false" ht="15" hidden="false" customHeight="false" outlineLevel="0" collapsed="false">
      <c r="B48" s="0" t="s">
        <v>580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22.0322463768116</v>
      </c>
      <c r="I48" s="30" t="n">
        <f aca="false">CHOOSE(Painel!$Y$5,F48,G48,H48)</f>
        <v>83.3178260869565</v>
      </c>
      <c r="J48" s="11" t="n">
        <f aca="false">C48/C47-1</f>
        <v>0.00626959247648906</v>
      </c>
      <c r="K48" s="11" t="n">
        <f aca="false">E48/E47-1</f>
        <v>0.0140135702363291</v>
      </c>
      <c r="L48" s="11" t="n">
        <f aca="false">F48/F47-1</f>
        <v>-0.0516858664998057</v>
      </c>
      <c r="M48" s="11" t="n">
        <f aca="false">G48/G47-1</f>
        <v>-0.0968159873566522</v>
      </c>
      <c r="N48" s="11" t="n">
        <f aca="false">H48/H47-1</f>
        <v>-0.0999252515667155</v>
      </c>
      <c r="O48" s="11" t="n">
        <f aca="false">I48/I47-1</f>
        <v>-0.0516858664998057</v>
      </c>
      <c r="P48" s="44" t="n">
        <f aca="false">C48/C$22*100</f>
        <v>75.7075471698113</v>
      </c>
      <c r="Q48" s="44" t="n">
        <f aca="false">I48/I$22*100</f>
        <v>87.9294968007428</v>
      </c>
    </row>
    <row r="49" customFormat="false" ht="15" hidden="false" customHeight="false" outlineLevel="0" collapsed="false">
      <c r="B49" s="0" t="s">
        <v>581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f aca="false">CHOOSE(Painel!$Y$5,F49,G49,H49)</f>
        <v>76.4005555555556</v>
      </c>
      <c r="J49" s="11" t="n">
        <f aca="false">C49/C48-1</f>
        <v>-0.0856697819314641</v>
      </c>
      <c r="K49" s="11" t="n">
        <f aca="false">E49/E48-1</f>
        <v>-0.119320081427875</v>
      </c>
      <c r="L49" s="11" t="n">
        <f aca="false">F49/F48-1</f>
        <v>-0.0830226958175985</v>
      </c>
      <c r="M49" s="11" t="n">
        <f aca="false">G49/G48-1</f>
        <v>-0.0585188276757558</v>
      </c>
      <c r="N49" s="11" t="n">
        <f aca="false">H49/H48-1</f>
        <v>-0.0477761881008113</v>
      </c>
      <c r="O49" s="11" t="n">
        <f aca="false">I49/I48-1</f>
        <v>-0.0830226958175985</v>
      </c>
      <c r="P49" s="44" t="n">
        <f aca="false">C49/C$22*100</f>
        <v>69.2216981132076</v>
      </c>
      <c r="Q49" s="44" t="n">
        <f aca="false">I49/I$22*100</f>
        <v>80.6293529344603</v>
      </c>
    </row>
    <row r="50" customFormat="false" ht="15" hidden="false" customHeight="false" outlineLevel="0" collapsed="false">
      <c r="B50" s="0" t="s">
        <v>582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f aca="false">CHOOSE(Painel!$Y$5,F50,G50,H50)</f>
        <v>67.7786363636364</v>
      </c>
      <c r="J50" s="11" t="n">
        <f aca="false">C50/C49-1</f>
        <v>-0.103918228279387</v>
      </c>
      <c r="K50" s="11" t="n">
        <f aca="false">E50/E49-1</f>
        <v>-0.110505358461766</v>
      </c>
      <c r="L50" s="11" t="n">
        <f aca="false">F50/F49-1</f>
        <v>-0.112851524824969</v>
      </c>
      <c r="M50" s="11" t="n">
        <f aca="false">G50/G49-1</f>
        <v>-0.129231593149119</v>
      </c>
      <c r="N50" s="11" t="n">
        <f aca="false">H50/H49-1</f>
        <v>-0.0291448334523627</v>
      </c>
      <c r="O50" s="11" t="n">
        <f aca="false">I50/I49-1</f>
        <v>-0.112851524824969</v>
      </c>
      <c r="P50" s="44" t="n">
        <f aca="false">C50/C$22*100</f>
        <v>62.0283018867925</v>
      </c>
      <c r="Q50" s="44" t="n">
        <f aca="false">I50/I$22*100</f>
        <v>71.5302075101559</v>
      </c>
    </row>
    <row r="51" customFormat="false" ht="15" hidden="false" customHeight="false" outlineLevel="0" collapsed="false">
      <c r="B51" s="0" t="s">
        <v>583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f aca="false">CHOOSE(Painel!$Y$5,F51,G51,H51)</f>
        <v>67.24</v>
      </c>
      <c r="J51" s="11" t="n">
        <f aca="false">C51/C50-1</f>
        <v>0.0788973384030418</v>
      </c>
      <c r="K51" s="11" t="n">
        <f aca="false">E51/E50-1</f>
        <v>0.0504893487589704</v>
      </c>
      <c r="L51" s="11" t="n">
        <f aca="false">F51/F50-1</f>
        <v>-0.00794699321990711</v>
      </c>
      <c r="M51" s="11" t="n">
        <f aca="false">G51/G50-1</f>
        <v>0.00847691026167374</v>
      </c>
      <c r="N51" s="11" t="n">
        <f aca="false">H51/H50-1</f>
        <v>0.0370010237227376</v>
      </c>
      <c r="O51" s="11" t="n">
        <f aca="false">I51/I50-1</f>
        <v>-0.00794699321990711</v>
      </c>
      <c r="P51" s="44" t="n">
        <f aca="false">C51/C$22*100</f>
        <v>66.9221698113208</v>
      </c>
      <c r="Q51" s="44" t="n">
        <f aca="false">I51/I$22*100</f>
        <v>70.9617574360541</v>
      </c>
    </row>
    <row r="52" customFormat="false" ht="15" hidden="false" customHeight="false" outlineLevel="0" collapsed="false">
      <c r="B52" s="0" t="s">
        <v>584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f aca="false">CHOOSE(Painel!$Y$5,F52,G52,H52)</f>
        <v>67.6952380952381</v>
      </c>
      <c r="J52" s="11" t="n">
        <f aca="false">C52/C51-1</f>
        <v>0.00792951541850218</v>
      </c>
      <c r="K52" s="11" t="n">
        <f aca="false">E52/E51-1</f>
        <v>-0.00262428526235781</v>
      </c>
      <c r="L52" s="11" t="n">
        <f aca="false">F52/F51-1</f>
        <v>0.00677034644910912</v>
      </c>
      <c r="M52" s="11" t="n">
        <f aca="false">G52/G51-1</f>
        <v>-0.00243273129377053</v>
      </c>
      <c r="N52" s="11" t="n">
        <f aca="false">H52/H51-1</f>
        <v>0.0758825408157511</v>
      </c>
      <c r="O52" s="11" t="n">
        <f aca="false">I52/I51-1</f>
        <v>0.00677034644910912</v>
      </c>
      <c r="P52" s="44" t="n">
        <f aca="false">C52/C$22*100</f>
        <v>67.4528301886792</v>
      </c>
      <c r="Q52" s="44" t="n">
        <f aca="false">I52/I$22*100</f>
        <v>71.4421931185338</v>
      </c>
    </row>
    <row r="53" customFormat="false" ht="15" hidden="false" customHeight="false" outlineLevel="0" collapsed="false">
      <c r="B53" s="0" t="s">
        <v>585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f aca="false">CHOOSE(Painel!$Y$5,F53,G53,H53)</f>
        <v>64.3734782608696</v>
      </c>
      <c r="J53" s="11" t="n">
        <f aca="false">C53/C52-1</f>
        <v>-0.0367132867132868</v>
      </c>
      <c r="K53" s="11" t="n">
        <f aca="false">E53/E52-1</f>
        <v>-0.0161063992248376</v>
      </c>
      <c r="L53" s="11" t="n">
        <f aca="false">F53/F52-1</f>
        <v>-0.0490693278852977</v>
      </c>
      <c r="M53" s="11" t="n">
        <f aca="false">G53/G52-1</f>
        <v>-0.0347324859592081</v>
      </c>
      <c r="N53" s="11" t="n">
        <f aca="false">H53/H52-1</f>
        <v>-0.0390610408482762</v>
      </c>
      <c r="O53" s="11" t="n">
        <f aca="false">I53/I52-1</f>
        <v>-0.0490693278852977</v>
      </c>
      <c r="P53" s="44" t="n">
        <f aca="false">C53/C$22*100</f>
        <v>64.9764150943396</v>
      </c>
      <c r="Q53" s="44" t="n">
        <f aca="false">I53/I$22*100</f>
        <v>67.9365727195557</v>
      </c>
    </row>
    <row r="54" customFormat="false" ht="15" hidden="false" customHeight="false" outlineLevel="0" collapsed="false">
      <c r="B54" s="0" t="s">
        <v>586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f aca="false">CHOOSE(Painel!$Y$5,F54,G54,H54)</f>
        <v>67.9465</v>
      </c>
      <c r="J54" s="11" t="n">
        <f aca="false">C54/C53-1</f>
        <v>0.0980036297640654</v>
      </c>
      <c r="K54" s="11" t="n">
        <f aca="false">E54/E53-1</f>
        <v>0.105505031129844</v>
      </c>
      <c r="L54" s="11" t="n">
        <f aca="false">F54/F53-1</f>
        <v>0.0555045623704065</v>
      </c>
      <c r="M54" s="11" t="n">
        <f aca="false">G54/G53-1</f>
        <v>-0.0180064308681672</v>
      </c>
      <c r="N54" s="11" t="n">
        <f aca="false">H54/H53-1</f>
        <v>-0.042906918865107</v>
      </c>
      <c r="O54" s="11" t="n">
        <f aca="false">I54/I53-1</f>
        <v>0.0555045623704065</v>
      </c>
      <c r="P54" s="44" t="n">
        <f aca="false">C54/C$22*100</f>
        <v>71.3443396226415</v>
      </c>
      <c r="Q54" s="44" t="n">
        <f aca="false">I54/I$22*100</f>
        <v>71.7073624573</v>
      </c>
    </row>
    <row r="55" customFormat="false" ht="15" hidden="false" customHeight="false" outlineLevel="0" collapsed="false">
      <c r="B55" s="0" t="s">
        <v>587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f aca="false">CHOOSE(Painel!$Y$5,F55,G55,H55)</f>
        <v>66.0690476190476</v>
      </c>
      <c r="J55" s="11" t="n">
        <f aca="false">C55/C54-1</f>
        <v>-0.0165289256198347</v>
      </c>
      <c r="K55" s="11" t="n">
        <f aca="false">E55/E54-1</f>
        <v>0.00892936956059565</v>
      </c>
      <c r="L55" s="11" t="n">
        <f aca="false">F55/F54-1</f>
        <v>-0.0276313331952694</v>
      </c>
      <c r="M55" s="11" t="n">
        <f aca="false">G55/G54-1</f>
        <v>-0.0622758599182957</v>
      </c>
      <c r="N55" s="11" t="n">
        <f aca="false">H55/H54-1</f>
        <v>-0.113180678970152</v>
      </c>
      <c r="O55" s="11" t="n">
        <f aca="false">I55/I54-1</f>
        <v>-0.0276313331952694</v>
      </c>
      <c r="P55" s="44" t="n">
        <f aca="false">C55/C$22*100</f>
        <v>70.1650943396226</v>
      </c>
      <c r="Q55" s="44" t="n">
        <f aca="false">I55/I$22*100</f>
        <v>69.7259924326884</v>
      </c>
    </row>
    <row r="56" customFormat="false" ht="15" hidden="false" customHeight="false" outlineLevel="0" collapsed="false">
      <c r="B56" s="0" t="s">
        <v>588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f aca="false">CHOOSE(Painel!$Y$5,F56,G56,H56)</f>
        <v>72.981</v>
      </c>
      <c r="J56" s="11" t="n">
        <f aca="false">C56/C55-1</f>
        <v>0.101680672268907</v>
      </c>
      <c r="K56" s="11" t="n">
        <f aca="false">E56/E55-1</f>
        <v>0.0654640730087643</v>
      </c>
      <c r="L56" s="11" t="n">
        <f aca="false">F56/F55-1</f>
        <v>0.104617103319038</v>
      </c>
      <c r="M56" s="11" t="n">
        <f aca="false">G56/G55-1</f>
        <v>0.257372381110741</v>
      </c>
      <c r="N56" s="11" t="n">
        <f aca="false">H56/H55-1</f>
        <v>0.0355225126854648</v>
      </c>
      <c r="O56" s="11" t="n">
        <f aca="false">I56/I55-1</f>
        <v>0.104617103319038</v>
      </c>
      <c r="P56" s="44" t="n">
        <f aca="false">C56/C$22*100</f>
        <v>77.2995283018868</v>
      </c>
      <c r="Q56" s="44" t="n">
        <f aca="false">I56/I$22*100</f>
        <v>77.0205237870414</v>
      </c>
    </row>
    <row r="57" customFormat="false" ht="15" hidden="false" customHeight="false" outlineLevel="0" collapsed="false">
      <c r="B57" s="0" t="s">
        <v>589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f aca="false">CHOOSE(Painel!$Y$5,F57,G57,H57)</f>
        <v>74.3963157894737</v>
      </c>
      <c r="J57" s="11" t="n">
        <f aca="false">C57/C56-1</f>
        <v>0.0457665903890161</v>
      </c>
      <c r="K57" s="11" t="n">
        <f aca="false">E57/E56-1</f>
        <v>0.0455317449835841</v>
      </c>
      <c r="L57" s="11" t="n">
        <f aca="false">F57/F56-1</f>
        <v>0.0193929350032707</v>
      </c>
      <c r="M57" s="11" t="n">
        <f aca="false">G57/G56-1</f>
        <v>0.251157887428677</v>
      </c>
      <c r="N57" s="11" t="n">
        <f aca="false">H57/H56-1</f>
        <v>-0.00429274780420885</v>
      </c>
      <c r="O57" s="11" t="n">
        <f aca="false">I57/I56-1</f>
        <v>0.0193929350032707</v>
      </c>
      <c r="P57" s="44" t="n">
        <f aca="false">C57/C$22*100</f>
        <v>80.8372641509434</v>
      </c>
      <c r="Q57" s="44" t="n">
        <f aca="false">I57/I$22*100</f>
        <v>78.5141777987614</v>
      </c>
    </row>
    <row r="58" customFormat="false" ht="15" hidden="false" customHeight="false" outlineLevel="0" collapsed="false">
      <c r="B58" s="0" t="s">
        <v>590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f aca="false">CHOOSE(Painel!$Y$5,F58,G58,H58)</f>
        <v>71.2404545454545</v>
      </c>
      <c r="J58" s="11" t="n">
        <f aca="false">C58/C57-1</f>
        <v>-0.00948212983223917</v>
      </c>
      <c r="K58" s="11" t="n">
        <f aca="false">E58/E57-1</f>
        <v>-0.00600322201412151</v>
      </c>
      <c r="L58" s="11" t="n">
        <f aca="false">F58/F57-1</f>
        <v>-0.0424195904129122</v>
      </c>
      <c r="M58" s="11" t="n">
        <f aca="false">G58/G57-1</f>
        <v>0.00168197748513177</v>
      </c>
      <c r="N58" s="11" t="n">
        <f aca="false">H58/H57-1</f>
        <v>-0.0523626515777439</v>
      </c>
      <c r="O58" s="11" t="n">
        <f aca="false">I58/I57-1</f>
        <v>-0.0424195904129122</v>
      </c>
      <c r="P58" s="44" t="n">
        <f aca="false">C58/C$22*100</f>
        <v>80.0707547169811</v>
      </c>
      <c r="Q58" s="44" t="n">
        <f aca="false">I58/I$22*100</f>
        <v>75.1836385349314</v>
      </c>
    </row>
    <row r="59" customFormat="false" ht="15" hidden="false" customHeight="false" outlineLevel="0" collapsed="false">
      <c r="B59" s="0" t="s">
        <v>591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f aca="false">CHOOSE(Painel!$Y$5,F59,G59,H59)</f>
        <v>66.5852631578947</v>
      </c>
      <c r="J59" s="11" t="n">
        <f aca="false">C59/C58-1</f>
        <v>-0.0839469808541974</v>
      </c>
      <c r="K59" s="11" t="n">
        <f aca="false">E59/E58-1</f>
        <v>-0.0746268907196357</v>
      </c>
      <c r="L59" s="11" t="n">
        <f aca="false">F59/F58-1</f>
        <v>-0.0653447737982861</v>
      </c>
      <c r="M59" s="11" t="n">
        <f aca="false">G59/G58-1</f>
        <v>-0.0158784012129135</v>
      </c>
      <c r="N59" s="11" t="n">
        <f aca="false">H59/H58-1</f>
        <v>-0.0172547033763025</v>
      </c>
      <c r="O59" s="11" t="n">
        <f aca="false">I59/I58-1</f>
        <v>-0.0653447737982861</v>
      </c>
      <c r="P59" s="44" t="n">
        <f aca="false">C59/C$22*100</f>
        <v>73.3490566037736</v>
      </c>
      <c r="Q59" s="44" t="n">
        <f aca="false">I59/I$22*100</f>
        <v>70.2707806815341</v>
      </c>
    </row>
    <row r="60" customFormat="false" ht="15" hidden="false" customHeight="false" outlineLevel="0" collapsed="false">
      <c r="B60" s="0" t="s">
        <v>592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f aca="false">CHOOSE(Painel!$Y$5,F60,G60,H60)</f>
        <v>62.7</v>
      </c>
      <c r="J60" s="11" t="n">
        <f aca="false">C60/C59-1</f>
        <v>-0.117363344051447</v>
      </c>
      <c r="K60" s="11" t="n">
        <f aca="false">E60/E59-1</f>
        <v>-0.114571990514586</v>
      </c>
      <c r="L60" s="11" t="n">
        <f aca="false">F60/F59-1</f>
        <v>-0.0583501960288351</v>
      </c>
      <c r="M60" s="11" t="n">
        <f aca="false">G60/G59-1</f>
        <v>-0.0956803839658695</v>
      </c>
      <c r="N60" s="11" t="n">
        <f aca="false">H60/H59-1</f>
        <v>0.0116898319286309</v>
      </c>
      <c r="O60" s="11" t="n">
        <f aca="false">I60/I59-1</f>
        <v>-0.0583501960288351</v>
      </c>
      <c r="P60" s="44" t="n">
        <f aca="false">C60/C$22*100</f>
        <v>64.7405660377359</v>
      </c>
      <c r="Q60" s="44" t="n">
        <f aca="false">I60/I$22*100</f>
        <v>66.1704668536674</v>
      </c>
    </row>
    <row r="61" customFormat="false" ht="15" hidden="false" customHeight="false" outlineLevel="0" collapsed="false">
      <c r="B61" s="0" t="s">
        <v>593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f aca="false">CHOOSE(Painel!$Y$5,F61,G61,H61)</f>
        <v>62.18</v>
      </c>
      <c r="J61" s="11" t="n">
        <f aca="false">C61/C60-1</f>
        <v>0.0273224043715847</v>
      </c>
      <c r="K61" s="11" t="n">
        <f aca="false">E61/E60-1</f>
        <v>0.0580589434473797</v>
      </c>
      <c r="L61" s="11" t="n">
        <f aca="false">F61/F60-1</f>
        <v>-0.00829346092503991</v>
      </c>
      <c r="M61" s="11" t="n">
        <f aca="false">G61/G60-1</f>
        <v>-0.0902017372605609</v>
      </c>
      <c r="N61" s="11" t="n">
        <f aca="false">H61/H60-1</f>
        <v>0.0469787080066393</v>
      </c>
      <c r="O61" s="11" t="n">
        <f aca="false">I61/I60-1</f>
        <v>-0.00829346092503991</v>
      </c>
      <c r="P61" s="44" t="n">
        <f aca="false">C61/C$22*100</f>
        <v>66.5094339622642</v>
      </c>
      <c r="Q61" s="44" t="n">
        <f aca="false">I61/I$22*100</f>
        <v>65.6216846724248</v>
      </c>
    </row>
    <row r="62" customFormat="false" ht="15" hidden="false" customHeight="false" outlineLevel="0" collapsed="false">
      <c r="B62" s="0" t="s">
        <v>594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f aca="false">CHOOSE(Painel!$Y$5,F62,G62,H62)</f>
        <v>64.6476190476191</v>
      </c>
      <c r="J62" s="11" t="n">
        <f aca="false">C62/C61-1</f>
        <v>0.0540780141843973</v>
      </c>
      <c r="K62" s="11" t="n">
        <f aca="false">E62/E61-1</f>
        <v>0.0548795006547953</v>
      </c>
      <c r="L62" s="11" t="n">
        <f aca="false">F62/F61-1</f>
        <v>0.0396850924351728</v>
      </c>
      <c r="M62" s="11" t="n">
        <f aca="false">G62/G61-1</f>
        <v>-0.0682364440100405</v>
      </c>
      <c r="N62" s="11" t="n">
        <f aca="false">H62/H61-1</f>
        <v>0.0118040553225029</v>
      </c>
      <c r="O62" s="11" t="n">
        <f aca="false">I62/I61-1</f>
        <v>0.0396850924351728</v>
      </c>
      <c r="P62" s="44" t="n">
        <f aca="false">C62/C$22*100</f>
        <v>70.1061320754717</v>
      </c>
      <c r="Q62" s="44" t="n">
        <f aca="false">I62/I$22*100</f>
        <v>68.2258872944018</v>
      </c>
    </row>
    <row r="63" customFormat="false" ht="15" hidden="false" customHeight="false" outlineLevel="0" collapsed="false">
      <c r="B63" s="0" t="s">
        <v>595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f aca="false">CHOOSE(Painel!$Y$5,F63,G63,H63)</f>
        <v>60.9795</v>
      </c>
      <c r="J63" s="11" t="n">
        <f aca="false">C63/C62-1</f>
        <v>-0.095878889823381</v>
      </c>
      <c r="K63" s="11" t="n">
        <f aca="false">E63/E62-1</f>
        <v>-0.0507873246168323</v>
      </c>
      <c r="L63" s="11" t="n">
        <f aca="false">F63/F62-1</f>
        <v>-0.0567402032999412</v>
      </c>
      <c r="M63" s="11" t="n">
        <f aca="false">G63/G62-1</f>
        <v>-0.0814381621735028</v>
      </c>
      <c r="N63" s="11" t="n">
        <f aca="false">H63/H62-1</f>
        <v>-0.0849756584696041</v>
      </c>
      <c r="O63" s="11" t="n">
        <f aca="false">I63/I62-1</f>
        <v>-0.0567402032999412</v>
      </c>
      <c r="P63" s="44" t="n">
        <f aca="false">C63/C$22*100</f>
        <v>63.3844339622642</v>
      </c>
      <c r="Q63" s="44" t="n">
        <f aca="false">I63/I$22*100</f>
        <v>64.3547365789985</v>
      </c>
    </row>
    <row r="64" customFormat="false" ht="15" hidden="false" customHeight="false" outlineLevel="0" collapsed="false">
      <c r="B64" s="0" t="s">
        <v>596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f aca="false">CHOOSE(Painel!$Y$5,F64,G64,H64)</f>
        <v>62.0713043478261</v>
      </c>
      <c r="J64" s="11" t="n">
        <f aca="false">C64/C63-1</f>
        <v>-0.00558139534883717</v>
      </c>
      <c r="K64" s="11" t="n">
        <f aca="false">E64/E63-1</f>
        <v>0.022651309515076</v>
      </c>
      <c r="L64" s="11" t="n">
        <f aca="false">F64/F63-1</f>
        <v>0.0179044490005018</v>
      </c>
      <c r="M64" s="11" t="n">
        <f aca="false">G64/G63-1</f>
        <v>0.0145680587101626</v>
      </c>
      <c r="N64" s="11" t="n">
        <f aca="false">H64/H63-1</f>
        <v>0.0497260966720559</v>
      </c>
      <c r="O64" s="11" t="n">
        <f aca="false">I64/I63-1</f>
        <v>0.0179044490005018</v>
      </c>
      <c r="P64" s="44" t="n">
        <f aca="false">C64/C$22*100</f>
        <v>63.0306603773585</v>
      </c>
      <c r="Q64" s="44" t="n">
        <f aca="false">I64/I$22*100</f>
        <v>65.5069726780179</v>
      </c>
    </row>
    <row r="65" customFormat="false" ht="15" hidden="false" customHeight="false" outlineLevel="0" collapsed="false">
      <c r="B65" s="0" t="s">
        <v>597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f aca="false">CHOOSE(Painel!$Y$5,F65,G65,H65)</f>
        <v>57.7754545454545</v>
      </c>
      <c r="J65" s="11" t="n">
        <f aca="false">C65/C64-1</f>
        <v>-0.0654817586529467</v>
      </c>
      <c r="K65" s="11" t="n">
        <f aca="false">E65/E64-1</f>
        <v>-0.0636943365384972</v>
      </c>
      <c r="L65" s="11" t="n">
        <f aca="false">F65/F64-1</f>
        <v>-0.069208305633455</v>
      </c>
      <c r="M65" s="11" t="n">
        <f aca="false">G65/G64-1</f>
        <v>-0.0723027956935665</v>
      </c>
      <c r="N65" s="11" t="n">
        <f aca="false">H65/H64-1</f>
        <v>-0.0299686312074181</v>
      </c>
      <c r="O65" s="11" t="n">
        <f aca="false">I65/I64-1</f>
        <v>-0.069208305633455</v>
      </c>
      <c r="P65" s="44" t="n">
        <f aca="false">C65/C$22*100</f>
        <v>58.9033018867925</v>
      </c>
      <c r="Q65" s="44" t="n">
        <f aca="false">I65/I$22*100</f>
        <v>60.9733460917953</v>
      </c>
    </row>
    <row r="66" customFormat="false" ht="15" hidden="false" customHeight="false" outlineLevel="0" collapsed="false">
      <c r="B66" s="0" t="s">
        <v>598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f aca="false">CHOOSE(Painel!$Y$5,F66,G66,H66)</f>
        <v>58.727619047619</v>
      </c>
      <c r="J66" s="11" t="n">
        <f aca="false">C66/C65-1</f>
        <v>-0.0710710710710711</v>
      </c>
      <c r="K66" s="11" t="n">
        <f aca="false">E66/E65-1</f>
        <v>-0.0729113293677643</v>
      </c>
      <c r="L66" s="11" t="n">
        <f aca="false">F66/F65-1</f>
        <v>0.0164804329045198</v>
      </c>
      <c r="M66" s="11" t="n">
        <f aca="false">G66/G65-1</f>
        <v>0.00762000356641868</v>
      </c>
      <c r="N66" s="11" t="n">
        <f aca="false">H66/H65-1</f>
        <v>0.0377050098774994</v>
      </c>
      <c r="O66" s="11" t="n">
        <f aca="false">I66/I65-1</f>
        <v>0.0164804329045198</v>
      </c>
      <c r="P66" s="44" t="n">
        <f aca="false">C66/C$22*100</f>
        <v>54.7169811320755</v>
      </c>
      <c r="Q66" s="44" t="n">
        <f aca="false">I66/I$22*100</f>
        <v>61.9782132310252</v>
      </c>
    </row>
    <row r="67" customFormat="false" ht="15" hidden="false" customHeight="false" outlineLevel="0" collapsed="false">
      <c r="B67" s="0" t="s">
        <v>599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f aca="false">CHOOSE(Painel!$Y$5,F67,G67,H67)</f>
        <v>61.7495652173913</v>
      </c>
      <c r="J67" s="11" t="n">
        <f aca="false">C67/C66-1</f>
        <v>0.0926724137931037</v>
      </c>
      <c r="K67" s="11" t="n">
        <f aca="false">E67/E66-1</f>
        <v>0.108939461962934</v>
      </c>
      <c r="L67" s="11" t="n">
        <f aca="false">F67/F66-1</f>
        <v>0.0514569842738208</v>
      </c>
      <c r="M67" s="11" t="n">
        <f aca="false">G67/G66-1</f>
        <v>0.0150343267797752</v>
      </c>
      <c r="N67" s="11" t="n">
        <f aca="false">H67/H66-1</f>
        <v>0.00722878851836239</v>
      </c>
      <c r="O67" s="11" t="n">
        <f aca="false">I67/I66-1</f>
        <v>0.0514569842738208</v>
      </c>
      <c r="P67" s="44" t="n">
        <f aca="false">C67/C$22*100</f>
        <v>59.7877358490566</v>
      </c>
      <c r="Q67" s="44" t="n">
        <f aca="false">I67/I$22*100</f>
        <v>65.1674251745736</v>
      </c>
    </row>
    <row r="68" customFormat="false" ht="15" hidden="false" customHeight="false" outlineLevel="0" collapsed="false">
      <c r="B68" s="0" t="s">
        <v>600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f aca="false">CHOOSE(Painel!$Y$5,F68,G68,H68)</f>
        <v>59.13</v>
      </c>
      <c r="J68" s="11" t="n">
        <f aca="false">C68/C67-1</f>
        <v>-0.00887573964497046</v>
      </c>
      <c r="K68" s="11" t="n">
        <f aca="false">E68/E67-1</f>
        <v>0.0233739962496562</v>
      </c>
      <c r="L68" s="11" t="n">
        <f aca="false">F68/F67-1</f>
        <v>-0.0424224074804258</v>
      </c>
      <c r="M68" s="11" t="n">
        <f aca="false">G68/G67-1</f>
        <v>-0.0518847756644747</v>
      </c>
      <c r="N68" s="11" t="n">
        <f aca="false">H68/H67-1</f>
        <v>0.0640096484452475</v>
      </c>
      <c r="O68" s="11" t="n">
        <f aca="false">I68/I67-1</f>
        <v>-0.0424224074804258</v>
      </c>
      <c r="P68" s="44" t="n">
        <f aca="false">C68/C$22*100</f>
        <v>59.2570754716981</v>
      </c>
      <c r="Q68" s="44" t="n">
        <f aca="false">I68/I$22*100</f>
        <v>62.4028661093676</v>
      </c>
    </row>
    <row r="69" customFormat="false" ht="15" hidden="false" customHeight="false" outlineLevel="0" collapsed="false">
      <c r="B69" s="0" t="s">
        <v>601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f aca="false">CHOOSE(Painel!$Y$5,F69,G69,H69)</f>
        <v>56.5594736842105</v>
      </c>
      <c r="J69" s="11" t="n">
        <f aca="false">C69/C68-1</f>
        <v>0.0169154228855721</v>
      </c>
      <c r="K69" s="11" t="n">
        <f aca="false">E69/E68-1</f>
        <v>0.0676815163047535</v>
      </c>
      <c r="L69" s="11" t="n">
        <f aca="false">F69/F68-1</f>
        <v>-0.0434724558733211</v>
      </c>
      <c r="M69" s="11" t="n">
        <f aca="false">G69/G68-1</f>
        <v>-0.0890148895957218</v>
      </c>
      <c r="N69" s="11" t="n">
        <f aca="false">H69/H68-1</f>
        <v>0.0118768640818063</v>
      </c>
      <c r="O69" s="11" t="n">
        <f aca="false">I69/I68-1</f>
        <v>-0.0434724558733211</v>
      </c>
      <c r="P69" s="44" t="n">
        <f aca="false">C69/C$22*100</f>
        <v>60.2594339622642</v>
      </c>
      <c r="Q69" s="44" t="n">
        <f aca="false">I69/I$22*100</f>
        <v>59.6900602660594</v>
      </c>
    </row>
    <row r="70" customFormat="false" ht="15" hidden="false" customHeight="false" outlineLevel="0" collapsed="false">
      <c r="B70" s="0" t="s">
        <v>602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f aca="false">CHOOSE(Painel!$Y$5,F70,G70,H70)</f>
        <v>52.9295454545455</v>
      </c>
      <c r="J70" s="11" t="n">
        <f aca="false">C70/C69-1</f>
        <v>-0.025440313111546</v>
      </c>
      <c r="K70" s="11" t="n">
        <f aca="false">E70/E69-1</f>
        <v>-0.0374604686723157</v>
      </c>
      <c r="L70" s="11" t="n">
        <f aca="false">F70/F69-1</f>
        <v>-0.064178960538638</v>
      </c>
      <c r="M70" s="11" t="n">
        <f aca="false">G70/G69-1</f>
        <v>-0.212186381577132</v>
      </c>
      <c r="N70" s="11" t="n">
        <f aca="false">H70/H69-1</f>
        <v>-0.124999401882396</v>
      </c>
      <c r="O70" s="11" t="n">
        <f aca="false">I70/I69-1</f>
        <v>-0.064178960538638</v>
      </c>
      <c r="P70" s="44" t="n">
        <f aca="false">C70/C$22*100</f>
        <v>58.7264150943396</v>
      </c>
      <c r="Q70" s="44" t="n">
        <f aca="false">I70/I$22*100</f>
        <v>55.859214243695</v>
      </c>
    </row>
    <row r="71" customFormat="false" ht="15" hidden="false" customHeight="false" outlineLevel="0" collapsed="false">
      <c r="B71" s="0" t="s">
        <v>603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f aca="false">CHOOSE(Painel!$Y$5,F71,G71,H71)</f>
        <v>55.6975</v>
      </c>
      <c r="J71" s="11" t="n">
        <f aca="false">C71/C70-1</f>
        <v>0.0552208835341366</v>
      </c>
      <c r="K71" s="11" t="n">
        <f aca="false">E71/E70-1</f>
        <v>0.0103260696310767</v>
      </c>
      <c r="L71" s="11" t="n">
        <f aca="false">F71/F70-1</f>
        <v>0.0522950749280779</v>
      </c>
      <c r="M71" s="11" t="n">
        <f aca="false">G71/G70-1</f>
        <v>0.0682698174959779</v>
      </c>
      <c r="N71" s="11" t="n">
        <f aca="false">H71/H70-1</f>
        <v>-0.0269780248324588</v>
      </c>
      <c r="O71" s="11" t="n">
        <f aca="false">I71/I70-1</f>
        <v>0.0522950749280779</v>
      </c>
      <c r="P71" s="44" t="n">
        <f aca="false">C71/C$22*100</f>
        <v>61.9693396226415</v>
      </c>
      <c r="Q71" s="44" t="n">
        <f aca="false">I71/I$22*100</f>
        <v>58.7803760379926</v>
      </c>
    </row>
    <row r="72" customFormat="false" ht="15" hidden="false" customHeight="false" outlineLevel="0" collapsed="false">
      <c r="B72" s="0" t="s">
        <v>604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f aca="false">CHOOSE(Painel!$Y$5,F72,G72,H72)</f>
        <v>56.4794736842105</v>
      </c>
      <c r="J72" s="11" t="n">
        <f aca="false">C72/C71-1</f>
        <v>-0.0475737392959087</v>
      </c>
      <c r="K72" s="11" t="n">
        <f aca="false">E72/E71-1</f>
        <v>-0.0506793334580491</v>
      </c>
      <c r="L72" s="11" t="n">
        <f aca="false">F72/F71-1</f>
        <v>0.0140396549972712</v>
      </c>
      <c r="M72" s="11" t="n">
        <f aca="false">G72/G71-1</f>
        <v>0.0825143626759823</v>
      </c>
      <c r="N72" s="11" t="n">
        <f aca="false">H72/H71-1</f>
        <v>-0.00297669645423859</v>
      </c>
      <c r="O72" s="11" t="n">
        <f aca="false">I72/I71-1</f>
        <v>0.0140396549972712</v>
      </c>
      <c r="P72" s="44" t="n">
        <f aca="false">C72/C$22*100</f>
        <v>59.0212264150943</v>
      </c>
      <c r="Q72" s="44" t="n">
        <f aca="false">I72/I$22*100</f>
        <v>59.6056322381759</v>
      </c>
    </row>
    <row r="73" customFormat="false" ht="15" hidden="false" customHeight="false" outlineLevel="0" collapsed="false">
      <c r="B73" s="0" t="s">
        <v>605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f aca="false">CHOOSE(Painel!$Y$5,F73,G73,H73)</f>
        <v>53.65</v>
      </c>
      <c r="J73" s="11" t="n">
        <f aca="false">C73/C72-1</f>
        <v>-0.0289710289710289</v>
      </c>
      <c r="K73" s="11" t="n">
        <f aca="false">E73/E72-1</f>
        <v>-0.022736086214892</v>
      </c>
      <c r="L73" s="11" t="n">
        <f aca="false">F73/F72-1</f>
        <v>-0.0500973805108518</v>
      </c>
      <c r="M73" s="11" t="n">
        <f aca="false">G73/G72-1</f>
        <v>-0.0678876916240836</v>
      </c>
      <c r="N73" s="11" t="n">
        <f aca="false">H73/H72-1</f>
        <v>-0.105842505037978</v>
      </c>
      <c r="O73" s="11" t="n">
        <f aca="false">I73/I72-1</f>
        <v>-0.0500973805108518</v>
      </c>
      <c r="P73" s="44" t="n">
        <f aca="false">C73/C$22*100</f>
        <v>57.311320754717</v>
      </c>
      <c r="Q73" s="44" t="n">
        <f aca="false">I73/I$22*100</f>
        <v>56.6195461993501</v>
      </c>
    </row>
    <row r="74" customFormat="false" ht="15" hidden="false" customHeight="false" outlineLevel="0" collapsed="false">
      <c r="B74" s="0" t="s">
        <v>606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f aca="false">CHOOSE(Painel!$Y$5,F74,G74,H74)</f>
        <v>53.9680952380952</v>
      </c>
      <c r="J74" s="11" t="n">
        <f aca="false">C74/C73-1</f>
        <v>-0.00205761316872433</v>
      </c>
      <c r="K74" s="11" t="n">
        <f aca="false">E74/E73-1</f>
        <v>-0.0221244734119037</v>
      </c>
      <c r="L74" s="11" t="n">
        <f aca="false">F74/F73-1</f>
        <v>0.00592908179115081</v>
      </c>
      <c r="M74" s="11" t="n">
        <f aca="false">G74/G73-1</f>
        <v>0.0199884086099766</v>
      </c>
      <c r="N74" s="11" t="n">
        <f aca="false">H74/H73-1</f>
        <v>0.012643932371196</v>
      </c>
      <c r="O74" s="11" t="n">
        <f aca="false">I74/I73-1</f>
        <v>0.00592908179115081</v>
      </c>
      <c r="P74" s="44" t="n">
        <f aca="false">C74/C$22*100</f>
        <v>57.1933962264151</v>
      </c>
      <c r="Q74" s="44" t="n">
        <f aca="false">I74/I$22*100</f>
        <v>56.9552481197439</v>
      </c>
    </row>
    <row r="75" customFormat="false" ht="15" hidden="false" customHeight="false" outlineLevel="0" collapsed="false">
      <c r="B75" s="0" t="s">
        <v>607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f aca="false">CHOOSE(Painel!$Y$5,F75,G75,H75)</f>
        <v>52.2225</v>
      </c>
      <c r="J75" s="11" t="n">
        <f aca="false">C75/C74-1</f>
        <v>-0.0484536082474227</v>
      </c>
      <c r="K75" s="11" t="n">
        <f aca="false">E75/E74-1</f>
        <v>-0.0686517645321096</v>
      </c>
      <c r="L75" s="11" t="n">
        <f aca="false">F75/F74-1</f>
        <v>-0.0323449480733767</v>
      </c>
      <c r="M75" s="11" t="n">
        <f aca="false">G75/G74-1</f>
        <v>-0.108007822823617</v>
      </c>
      <c r="N75" s="11" t="n">
        <f aca="false">H75/H74-1</f>
        <v>0.0728996282527883</v>
      </c>
      <c r="O75" s="11" t="n">
        <f aca="false">I75/I74-1</f>
        <v>-0.0323449480733767</v>
      </c>
      <c r="P75" s="44" t="n">
        <f aca="false">C75/C$22*100</f>
        <v>54.4221698113208</v>
      </c>
      <c r="Q75" s="44" t="n">
        <f aca="false">I75/I$22*100</f>
        <v>55.1130335768045</v>
      </c>
    </row>
    <row r="76" customFormat="false" ht="15" hidden="false" customHeight="false" outlineLevel="0" collapsed="false">
      <c r="B76" s="0" t="s">
        <v>608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f aca="false">CHOOSE(Painel!$Y$5,F76,G76,H76)</f>
        <v>55.0521739130435</v>
      </c>
      <c r="J76" s="11" t="n">
        <f aca="false">C76/C75-1</f>
        <v>0.0541711809317442</v>
      </c>
      <c r="K76" s="11" t="n">
        <f aca="false">E76/E75-1</f>
        <v>0.0506364359361013</v>
      </c>
      <c r="L76" s="11" t="n">
        <f aca="false">F76/F75-1</f>
        <v>0.0541849569255299</v>
      </c>
      <c r="M76" s="11" t="n">
        <f aca="false">G76/G75-1</f>
        <v>0.0112645270197158</v>
      </c>
      <c r="N76" s="11" t="n">
        <f aca="false">H76/H75-1</f>
        <v>0.0144839658754177</v>
      </c>
      <c r="O76" s="11" t="n">
        <f aca="false">I76/I75-1</f>
        <v>0.0541849569255299</v>
      </c>
      <c r="P76" s="44" t="n">
        <f aca="false">C76/C$22*100</f>
        <v>57.3702830188679</v>
      </c>
      <c r="Q76" s="44" t="n">
        <f aca="false">I76/I$22*100</f>
        <v>58.0993309271989</v>
      </c>
    </row>
    <row r="77" customFormat="false" ht="15" hidden="false" customHeight="false" outlineLevel="0" collapsed="false">
      <c r="B77" s="0" t="s">
        <v>609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f aca="false">CHOOSE(Painel!$Y$5,F77,G77,H77)</f>
        <v>54.3680952380952</v>
      </c>
      <c r="J77" s="11" t="n">
        <f aca="false">C77/C76-1</f>
        <v>0.0246659815005139</v>
      </c>
      <c r="K77" s="11" t="n">
        <f aca="false">E77/E76-1</f>
        <v>0.00954203393961284</v>
      </c>
      <c r="L77" s="11" t="n">
        <f aca="false">F77/F76-1</f>
        <v>-0.0124260065738505</v>
      </c>
      <c r="M77" s="11" t="n">
        <f aca="false">G77/G76-1</f>
        <v>-0.108679756745671</v>
      </c>
      <c r="N77" s="11" t="n">
        <f aca="false">H77/H76-1</f>
        <v>-0.0222806307627387</v>
      </c>
      <c r="O77" s="11" t="n">
        <f aca="false">I77/I76-1</f>
        <v>-0.0124260065738505</v>
      </c>
      <c r="P77" s="44" t="n">
        <f aca="false">C77/C$22*100</f>
        <v>58.7853773584906</v>
      </c>
      <c r="Q77" s="44" t="n">
        <f aca="false">I77/I$22*100</f>
        <v>57.3773882591613</v>
      </c>
    </row>
    <row r="78" customFormat="false" ht="15" hidden="false" customHeight="false" outlineLevel="0" collapsed="false">
      <c r="B78" s="0" t="s">
        <v>610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f aca="false">CHOOSE(Painel!$Y$5,F78,G78,H78)</f>
        <v>57</v>
      </c>
      <c r="J78" s="11" t="n">
        <f aca="false">C78/C77-1</f>
        <v>0.0361083249749248</v>
      </c>
      <c r="K78" s="11" t="n">
        <f aca="false">E78/E77-1</f>
        <v>0.0209858494685804</v>
      </c>
      <c r="L78" s="11" t="n">
        <f aca="false">F78/F77-1</f>
        <v>0.0484089933697107</v>
      </c>
      <c r="M78" s="11" t="n">
        <f aca="false">G78/G77-1</f>
        <v>0.0837551771744132</v>
      </c>
      <c r="N78" s="11" t="n">
        <f aca="false">H78/H77-1</f>
        <v>0.0297097959097261</v>
      </c>
      <c r="O78" s="11" t="n">
        <f aca="false">I78/I77-1</f>
        <v>0.0484089933697107</v>
      </c>
      <c r="P78" s="44" t="n">
        <f aca="false">C78/C$22*100</f>
        <v>60.9080188679245</v>
      </c>
      <c r="Q78" s="44" t="n">
        <f aca="false">I78/I$22*100</f>
        <v>60.1549698669703</v>
      </c>
    </row>
    <row r="79" customFormat="false" ht="15" hidden="false" customHeight="false" outlineLevel="0" collapsed="false">
      <c r="B79" s="0" t="s">
        <v>611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f aca="false">CHOOSE(Painel!$Y$5,F79,G79,H79)</f>
        <v>60.6626086956522</v>
      </c>
      <c r="J79" s="11" t="n">
        <f aca="false">C79/C78-1</f>
        <v>0.0019361084220717</v>
      </c>
      <c r="K79" s="11" t="n">
        <f aca="false">E79/E78-1</f>
        <v>0.00531484739484056</v>
      </c>
      <c r="L79" s="11" t="n">
        <f aca="false">F79/F78-1</f>
        <v>0.0642562929061783</v>
      </c>
      <c r="M79" s="11" t="n">
        <f aca="false">G79/G78-1</f>
        <v>0.0968152866242038</v>
      </c>
      <c r="N79" s="11" t="n">
        <f aca="false">H79/H78-1</f>
        <v>0.0639261959542936</v>
      </c>
      <c r="O79" s="11" t="n">
        <f aca="false">I79/I78-1</f>
        <v>0.0642562929061783</v>
      </c>
      <c r="P79" s="44" t="n">
        <f aca="false">C79/C$22*100</f>
        <v>61.0259433962264</v>
      </c>
      <c r="Q79" s="44" t="n">
        <f aca="false">I79/I$22*100</f>
        <v>64.0203052305047</v>
      </c>
    </row>
    <row r="80" customFormat="false" ht="15" hidden="false" customHeight="false" outlineLevel="0" collapsed="false">
      <c r="B80" s="0" t="s">
        <v>612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f aca="false">CHOOSE(Painel!$Y$5,F80,G80,H80)</f>
        <v>65.4884210526316</v>
      </c>
      <c r="J80" s="11" t="n">
        <f aca="false">C80/C79-1</f>
        <v>-0.00966183574879231</v>
      </c>
      <c r="K80" s="11" t="n">
        <f aca="false">E80/E79-1</f>
        <v>-0.017863317900051</v>
      </c>
      <c r="L80" s="11" t="n">
        <f aca="false">F80/F79-1</f>
        <v>0.0795516787151505</v>
      </c>
      <c r="M80" s="11" t="n">
        <f aca="false">G80/G79-1</f>
        <v>-0.0141817959532977</v>
      </c>
      <c r="N80" s="11" t="n">
        <f aca="false">H80/H79-1</f>
        <v>0.0519931251292871</v>
      </c>
      <c r="O80" s="11" t="n">
        <f aca="false">I80/I79-1</f>
        <v>0.0795516787151505</v>
      </c>
      <c r="P80" s="44" t="n">
        <f aca="false">C80/C$22*100</f>
        <v>60.436320754717</v>
      </c>
      <c r="Q80" s="44" t="n">
        <f aca="false">I80/I$22*100</f>
        <v>69.1132279834477</v>
      </c>
    </row>
    <row r="81" customFormat="false" ht="15" hidden="false" customHeight="false" outlineLevel="0" collapsed="false">
      <c r="B81" s="0" t="s">
        <v>613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f aca="false">CHOOSE(Painel!$Y$5,F81,G81,H81)</f>
        <v>70.6565</v>
      </c>
      <c r="J81" s="11" t="n">
        <f aca="false">C81/C80-1</f>
        <v>0.0204878048780488</v>
      </c>
      <c r="K81" s="11" t="n">
        <f aca="false">E81/E80-1</f>
        <v>0.0419259017732008</v>
      </c>
      <c r="L81" s="11" t="n">
        <f aca="false">F81/F80-1</f>
        <v>0.0789159192464719</v>
      </c>
      <c r="M81" s="11" t="n">
        <f aca="false">G81/G80-1</f>
        <v>0.0857816084826686</v>
      </c>
      <c r="N81" s="11" t="n">
        <f aca="false">H81/H80-1</f>
        <v>0.0587911781127859</v>
      </c>
      <c r="O81" s="11" t="n">
        <f aca="false">I81/I80-1</f>
        <v>0.0789159192464719</v>
      </c>
      <c r="P81" s="44" t="n">
        <f aca="false">C81/C$22*100</f>
        <v>61.6745283018868</v>
      </c>
      <c r="Q81" s="44" t="n">
        <f aca="false">I81/I$22*100</f>
        <v>74.5673619018524</v>
      </c>
    </row>
    <row r="82" customFormat="false" ht="15" hidden="false" customHeight="false" outlineLevel="0" collapsed="false">
      <c r="B82" s="0" t="s">
        <v>614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f aca="false">CHOOSE(Painel!$Y$5,F82,G82,H82)</f>
        <v>79.55</v>
      </c>
      <c r="J82" s="11" t="n">
        <f aca="false">C82/C81-1</f>
        <v>0.00860420650095617</v>
      </c>
      <c r="K82" s="11" t="n">
        <f aca="false">E82/E81-1</f>
        <v>-0.0126846648141236</v>
      </c>
      <c r="L82" s="11" t="n">
        <f aca="false">F82/F81-1</f>
        <v>0.125869523681473</v>
      </c>
      <c r="M82" s="11" t="n">
        <f aca="false">G82/G81-1</f>
        <v>0.062437996031746</v>
      </c>
      <c r="N82" s="11" t="n">
        <f aca="false">H82/H81-1</f>
        <v>0.105608317170864</v>
      </c>
      <c r="O82" s="11" t="n">
        <f aca="false">I82/I81-1</f>
        <v>0.125869523681473</v>
      </c>
      <c r="P82" s="44" t="n">
        <f aca="false">C82/C$22*100</f>
        <v>62.2051886792453</v>
      </c>
      <c r="Q82" s="44" t="n">
        <f aca="false">I82/I$22*100</f>
        <v>83.9531202266226</v>
      </c>
    </row>
    <row r="83" customFormat="false" ht="15" hidden="false" customHeight="false" outlineLevel="0" collapsed="false">
      <c r="B83" s="0" t="s">
        <v>615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f aca="false">CHOOSE(Painel!$Y$5,F83,G83,H83)</f>
        <v>87.4233333333333</v>
      </c>
      <c r="J83" s="11" t="n">
        <f aca="false">C83/C82-1</f>
        <v>-0.0635071090047393</v>
      </c>
      <c r="K83" s="11" t="n">
        <f aca="false">E83/E82-1</f>
        <v>-0.0876124149662885</v>
      </c>
      <c r="L83" s="11" t="n">
        <f aca="false">F83/F82-1</f>
        <v>0.0989733919966478</v>
      </c>
      <c r="M83" s="11" t="n">
        <f aca="false">G83/G82-1</f>
        <v>-0.0641474564731057</v>
      </c>
      <c r="N83" s="11" t="n">
        <f aca="false">H83/H82-1</f>
        <v>-0.00841514726507731</v>
      </c>
      <c r="O83" s="11" t="n">
        <f aca="false">I83/I82-1</f>
        <v>0.0989733919966478</v>
      </c>
      <c r="P83" s="44" t="n">
        <f aca="false">C83/C$22*100</f>
        <v>58.2547169811321</v>
      </c>
      <c r="Q83" s="44" t="n">
        <f aca="false">I83/I$22*100</f>
        <v>92.2622453041538</v>
      </c>
    </row>
    <row r="84" customFormat="false" ht="15" hidden="false" customHeight="false" outlineLevel="0" collapsed="false">
      <c r="B84" s="0" t="s">
        <v>616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f aca="false">CHOOSE(Painel!$Y$5,F84,G84,H84)</f>
        <v>79.8286363636364</v>
      </c>
      <c r="J84" s="11" t="n">
        <f aca="false">C84/C83-1</f>
        <v>0.0576923076923077</v>
      </c>
      <c r="K84" s="11" t="n">
        <f aca="false">E84/E83-1</f>
        <v>0.0639970535944081</v>
      </c>
      <c r="L84" s="11" t="n">
        <f aca="false">F84/F83-1</f>
        <v>-0.0868726537884276</v>
      </c>
      <c r="M84" s="11" t="n">
        <f aca="false">G84/G83-1</f>
        <v>-0.267088858758557</v>
      </c>
      <c r="N84" s="11" t="n">
        <f aca="false">H84/H83-1</f>
        <v>-0.154462369313854</v>
      </c>
      <c r="O84" s="11" t="n">
        <f aca="false">I84/I83-1</f>
        <v>-0.0868726537884276</v>
      </c>
      <c r="P84" s="44" t="n">
        <f aca="false">C84/C$22*100</f>
        <v>61.6155660377358</v>
      </c>
      <c r="Q84" s="44" t="n">
        <f aca="false">I84/I$22*100</f>
        <v>84.2471792101031</v>
      </c>
    </row>
    <row r="85" customFormat="false" ht="15" hidden="false" customHeight="false" outlineLevel="0" collapsed="false">
      <c r="B85" s="0" t="s">
        <v>617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f aca="false">CHOOSE(Painel!$Y$5,F85,G85,H85)</f>
        <v>85.4395</v>
      </c>
      <c r="J85" s="11" t="n">
        <f aca="false">C85/C84-1</f>
        <v>0.0153110047846889</v>
      </c>
      <c r="K85" s="11" t="n">
        <f aca="false">E85/E84-1</f>
        <v>-0.023212436313591</v>
      </c>
      <c r="L85" s="11" t="n">
        <f aca="false">F85/F84-1</f>
        <v>0.0702863520153965</v>
      </c>
      <c r="M85" s="11" t="n">
        <f aca="false">G85/G84-1</f>
        <v>-0.0292453468697125</v>
      </c>
      <c r="N85" s="11" t="n">
        <f aca="false">H85/H84-1</f>
        <v>0.14953202151964</v>
      </c>
      <c r="O85" s="11" t="n">
        <f aca="false">I85/I84-1</f>
        <v>0.0702863520153965</v>
      </c>
      <c r="P85" s="44" t="n">
        <f aca="false">C85/C$22*100</f>
        <v>62.5589622641509</v>
      </c>
      <c r="Q85" s="44" t="n">
        <f aca="false">I85/I$22*100</f>
        <v>90.1686061043686</v>
      </c>
    </row>
    <row r="86" customFormat="false" ht="15" hidden="false" customHeight="false" outlineLevel="0" collapsed="false">
      <c r="B86" s="0" t="s">
        <v>618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f aca="false">CHOOSE(Painel!$Y$5,F86,G86,H86)</f>
        <v>82.234</v>
      </c>
      <c r="J86" s="11" t="n">
        <f aca="false">C86/C85-1</f>
        <v>0.0235626767200754</v>
      </c>
      <c r="K86" s="11" t="n">
        <f aca="false">E86/E85-1</f>
        <v>0.0135163839323358</v>
      </c>
      <c r="L86" s="11" t="n">
        <f aca="false">F86/F85-1</f>
        <v>-0.037517775736047</v>
      </c>
      <c r="M86" s="11" t="n">
        <f aca="false">G86/G85-1</f>
        <v>-0.0051384308612622</v>
      </c>
      <c r="N86" s="11" t="n">
        <f aca="false">H86/H85-1</f>
        <v>0.10766337564645</v>
      </c>
      <c r="O86" s="11" t="n">
        <f aca="false">I86/I85-1</f>
        <v>-0.037517775736047</v>
      </c>
      <c r="P86" s="44" t="n">
        <f aca="false">C86/C$22*100</f>
        <v>64.0330188679245</v>
      </c>
      <c r="Q86" s="44" t="n">
        <f aca="false">I86/I$22*100</f>
        <v>86.7856805621129</v>
      </c>
    </row>
    <row r="87" customFormat="false" ht="15" hidden="false" customHeight="false" outlineLevel="0" collapsed="false">
      <c r="B87" s="0" t="s">
        <v>619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f aca="false">CHOOSE(Painel!$Y$5,F87,G87,H87)</f>
        <v>79.6828571428572</v>
      </c>
      <c r="J87" s="11" t="n">
        <f aca="false">C87/C86-1</f>
        <v>-0.0718232044198894</v>
      </c>
      <c r="K87" s="11" t="n">
        <f aca="false">E87/E86-1</f>
        <v>-0.0450229072743995</v>
      </c>
      <c r="L87" s="11" t="n">
        <f aca="false">F87/F86-1</f>
        <v>-0.0310229692966761</v>
      </c>
      <c r="M87" s="11" t="n">
        <f aca="false">G87/G86-1</f>
        <v>-0.125662599298122</v>
      </c>
      <c r="N87" s="11" t="n">
        <f aca="false">H87/H86-1</f>
        <v>-0.0371897485649605</v>
      </c>
      <c r="O87" s="11" t="n">
        <f aca="false">I87/I86-1</f>
        <v>-0.0310229692966761</v>
      </c>
      <c r="P87" s="44" t="n">
        <f aca="false">C87/C$22*100</f>
        <v>59.4339622641509</v>
      </c>
      <c r="Q87" s="44" t="n">
        <f aca="false">I87/I$22*100</f>
        <v>84.0933310586434</v>
      </c>
    </row>
    <row r="88" customFormat="false" ht="15" hidden="false" customHeight="false" outlineLevel="0" collapsed="false">
      <c r="B88" s="0" t="s">
        <v>620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f aca="false">CHOOSE(Painel!$Y$5,F88,G88,H88)</f>
        <v>75.0152173913044</v>
      </c>
      <c r="J88" s="11" t="n">
        <f aca="false">C88/C87-1</f>
        <v>-0.0257936507936507</v>
      </c>
      <c r="K88" s="11" t="n">
        <f aca="false">E88/E87-1</f>
        <v>-0.0283965501976852</v>
      </c>
      <c r="L88" s="11" t="n">
        <f aca="false">F88/F87-1</f>
        <v>-0.0585777156959187</v>
      </c>
      <c r="M88" s="11" t="n">
        <f aca="false">G88/G87-1</f>
        <v>-0.106660289806394</v>
      </c>
      <c r="N88" s="11" t="n">
        <f aca="false">H88/H87-1</f>
        <v>0.0291768739024558</v>
      </c>
      <c r="O88" s="11" t="n">
        <f aca="false">I88/I87-1</f>
        <v>-0.0585777156959187</v>
      </c>
      <c r="P88" s="44" t="n">
        <f aca="false">C88/C$22*100</f>
        <v>57.9009433962264</v>
      </c>
      <c r="Q88" s="44" t="n">
        <f aca="false">I88/I$22*100</f>
        <v>79.1673358199674</v>
      </c>
    </row>
    <row r="89" customFormat="false" ht="15" hidden="false" customHeight="false" outlineLevel="0" collapsed="false">
      <c r="B89" s="0" t="s">
        <v>621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f aca="false">CHOOSE(Painel!$Y$5,F89,G89,H89)</f>
        <v>75.1733333333333</v>
      </c>
      <c r="J89" s="11" t="n">
        <f aca="false">C89/C88-1</f>
        <v>-0.0193482688391039</v>
      </c>
      <c r="K89" s="11" t="n">
        <f aca="false">E89/E88-1</f>
        <v>-0.011812021936618</v>
      </c>
      <c r="L89" s="11" t="n">
        <f aca="false">F89/F88-1</f>
        <v>0.00210778489388619</v>
      </c>
      <c r="M89" s="11" t="n">
        <f aca="false">G89/G88-1</f>
        <v>-0.0619227436941133</v>
      </c>
      <c r="N89" s="11" t="n">
        <f aca="false">H89/H88-1</f>
        <v>0.035045384202661</v>
      </c>
      <c r="O89" s="11" t="n">
        <f aca="false">I89/I88-1</f>
        <v>0.00210778489388619</v>
      </c>
      <c r="P89" s="44" t="n">
        <f aca="false">C89/C$22*100</f>
        <v>56.7806603773585</v>
      </c>
      <c r="Q89" s="44" t="n">
        <f aca="false">I89/I$22*100</f>
        <v>79.3342035344979</v>
      </c>
    </row>
    <row r="90" customFormat="false" ht="15" hidden="false" customHeight="false" outlineLevel="0" collapsed="false">
      <c r="B90" s="0" t="s">
        <v>622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f aca="false">CHOOSE(Painel!$Y$5,F90,G90,H90)</f>
        <v>74.7928571428571</v>
      </c>
      <c r="J90" s="11" t="n">
        <f aca="false">C90/C89-1</f>
        <v>0.0145379023883698</v>
      </c>
      <c r="K90" s="11" t="n">
        <f aca="false">E90/E89-1</f>
        <v>0.0128644621628204</v>
      </c>
      <c r="L90" s="11" t="n">
        <f aca="false">F90/F89-1</f>
        <v>-0.00506131860335479</v>
      </c>
      <c r="M90" s="11" t="n">
        <f aca="false">G90/G89-1</f>
        <v>0.310020040080161</v>
      </c>
      <c r="N90" s="11" t="n">
        <f aca="false">H90/H89-1</f>
        <v>0.0460152924483683</v>
      </c>
      <c r="O90" s="11" t="n">
        <f aca="false">I90/I89-1</f>
        <v>-0.00506131860335479</v>
      </c>
      <c r="P90" s="44" t="n">
        <f aca="false">C90/C$22*100</f>
        <v>57.6061320754717</v>
      </c>
      <c r="Q90" s="44" t="n">
        <f aca="false">I90/I$22*100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623</v>
      </c>
    </row>
    <row r="2" customFormat="false" ht="15" hidden="false" customHeight="false" outlineLevel="0" collapsed="false">
      <c r="B2" s="2" t="s">
        <v>624</v>
      </c>
    </row>
    <row r="4" customFormat="false" ht="15" hidden="false" customHeight="false" outlineLevel="0" collapsed="false">
      <c r="B4" s="13" t="s">
        <v>625</v>
      </c>
      <c r="C4" s="13" t="s">
        <v>23</v>
      </c>
      <c r="D4" s="13" t="s">
        <v>251</v>
      </c>
      <c r="E4" s="13" t="s">
        <v>39</v>
      </c>
    </row>
    <row r="5" customFormat="false" ht="31.5" hidden="false" customHeight="true" outlineLevel="0" collapsed="false">
      <c r="B5" s="45" t="s">
        <v>119</v>
      </c>
      <c r="C5" s="46" t="s">
        <v>626</v>
      </c>
      <c r="D5" s="46" t="s">
        <v>627</v>
      </c>
      <c r="E5" s="46" t="s">
        <v>628</v>
      </c>
    </row>
    <row r="6" customFormat="false" ht="31.5" hidden="false" customHeight="true" outlineLevel="0" collapsed="false">
      <c r="B6" s="45" t="s">
        <v>266</v>
      </c>
      <c r="C6" s="46" t="s">
        <v>629</v>
      </c>
      <c r="D6" s="46" t="s">
        <v>630</v>
      </c>
      <c r="E6" s="46" t="s">
        <v>628</v>
      </c>
    </row>
    <row r="7" customFormat="false" ht="31.5" hidden="false" customHeight="true" outlineLevel="0" collapsed="false">
      <c r="B7" s="45" t="s">
        <v>262</v>
      </c>
      <c r="C7" s="46" t="s">
        <v>631</v>
      </c>
      <c r="D7" s="46" t="s">
        <v>632</v>
      </c>
      <c r="E7" s="46" t="s">
        <v>628</v>
      </c>
    </row>
    <row r="8" customFormat="false" ht="31.5" hidden="false" customHeight="true" outlineLevel="0" collapsed="false">
      <c r="B8" s="45" t="s">
        <v>203</v>
      </c>
      <c r="C8" s="46" t="s">
        <v>633</v>
      </c>
      <c r="D8" s="46" t="s">
        <v>634</v>
      </c>
      <c r="E8" s="46" t="s">
        <v>628</v>
      </c>
    </row>
    <row r="9" customFormat="false" ht="31.5" hidden="false" customHeight="true" outlineLevel="0" collapsed="false">
      <c r="B9" s="45" t="s">
        <v>635</v>
      </c>
      <c r="C9" s="46" t="s">
        <v>636</v>
      </c>
      <c r="D9" s="46" t="s">
        <v>637</v>
      </c>
      <c r="E9" s="46" t="s">
        <v>638</v>
      </c>
    </row>
    <row r="10" customFormat="false" ht="31.5" hidden="false" customHeight="true" outlineLevel="0" collapsed="false">
      <c r="B10" s="45" t="s">
        <v>639</v>
      </c>
      <c r="C10" s="46" t="s">
        <v>640</v>
      </c>
      <c r="D10" s="46" t="s">
        <v>641</v>
      </c>
      <c r="E10" s="46" t="s">
        <v>386</v>
      </c>
    </row>
    <row r="11" customFormat="false" ht="31.5" hidden="false" customHeight="true" outlineLevel="0" collapsed="false">
      <c r="B11" s="45" t="s">
        <v>280</v>
      </c>
      <c r="C11" s="46" t="s">
        <v>642</v>
      </c>
      <c r="D11" s="46" t="s">
        <v>643</v>
      </c>
      <c r="E11" s="46" t="s">
        <v>638</v>
      </c>
    </row>
    <row r="12" customFormat="false" ht="31.5" hidden="false" customHeight="true" outlineLevel="0" collapsed="false">
      <c r="B12" s="45" t="s">
        <v>644</v>
      </c>
      <c r="C12" s="46" t="s">
        <v>645</v>
      </c>
      <c r="D12" s="46" t="s">
        <v>643</v>
      </c>
      <c r="E12" s="46" t="s">
        <v>638</v>
      </c>
    </row>
    <row r="13" customFormat="false" ht="31.5" hidden="false" customHeight="true" outlineLevel="0" collapsed="false">
      <c r="B13" s="45" t="s">
        <v>286</v>
      </c>
      <c r="C13" s="46" t="s">
        <v>646</v>
      </c>
      <c r="D13" s="46" t="s">
        <v>287</v>
      </c>
      <c r="E13" s="46" t="s">
        <v>638</v>
      </c>
    </row>
    <row r="14" customFormat="false" ht="31.5" hidden="false" customHeight="true" outlineLevel="0" collapsed="false">
      <c r="B14" s="45" t="s">
        <v>647</v>
      </c>
      <c r="C14" s="46" t="s">
        <v>648</v>
      </c>
      <c r="D14" s="46" t="s">
        <v>649</v>
      </c>
      <c r="E14" s="46" t="s">
        <v>628</v>
      </c>
    </row>
    <row r="15" customFormat="false" ht="31.5" hidden="false" customHeight="true" outlineLevel="0" collapsed="false">
      <c r="B15" s="45" t="s">
        <v>386</v>
      </c>
      <c r="C15" s="46" t="s">
        <v>650</v>
      </c>
      <c r="D15" s="46" t="s">
        <v>651</v>
      </c>
      <c r="E15" s="46" t="s">
        <v>386</v>
      </c>
    </row>
    <row r="16" customFormat="false" ht="31.5" hidden="false" customHeight="true" outlineLevel="0" collapsed="false">
      <c r="B16" s="45" t="s">
        <v>431</v>
      </c>
      <c r="C16" s="46" t="s">
        <v>652</v>
      </c>
      <c r="D16" s="46" t="s">
        <v>653</v>
      </c>
      <c r="E16" s="46" t="s">
        <v>386</v>
      </c>
    </row>
    <row r="17" customFormat="false" ht="31.5" hidden="false" customHeight="true" outlineLevel="0" collapsed="false">
      <c r="B17" s="45" t="s">
        <v>347</v>
      </c>
      <c r="C17" s="46" t="s">
        <v>654</v>
      </c>
      <c r="D17" s="46" t="s">
        <v>655</v>
      </c>
      <c r="E17" s="46" t="s">
        <v>399</v>
      </c>
    </row>
    <row r="18" customFormat="false" ht="31.5" hidden="false" customHeight="true" outlineLevel="0" collapsed="false">
      <c r="B18" s="45" t="s">
        <v>349</v>
      </c>
      <c r="C18" s="46" t="s">
        <v>656</v>
      </c>
      <c r="D18" s="46" t="s">
        <v>657</v>
      </c>
      <c r="E18" s="46" t="s">
        <v>399</v>
      </c>
    </row>
    <row r="19" customFormat="false" ht="31.5" hidden="false" customHeight="true" outlineLevel="0" collapsed="false">
      <c r="B19" s="45" t="s">
        <v>351</v>
      </c>
      <c r="C19" s="46" t="s">
        <v>658</v>
      </c>
      <c r="D19" s="46" t="s">
        <v>659</v>
      </c>
      <c r="E19" s="46" t="s">
        <v>399</v>
      </c>
    </row>
    <row r="20" customFormat="false" ht="31.5" hidden="false" customHeight="true" outlineLevel="0" collapsed="false">
      <c r="B20" s="45" t="s">
        <v>660</v>
      </c>
      <c r="C20" s="46" t="s">
        <v>661</v>
      </c>
      <c r="D20" s="46" t="s">
        <v>662</v>
      </c>
      <c r="E20" s="46" t="s">
        <v>399</v>
      </c>
    </row>
    <row r="21" customFormat="false" ht="31.5" hidden="false" customHeight="true" outlineLevel="0" collapsed="false">
      <c r="B21" s="45" t="s">
        <v>663</v>
      </c>
      <c r="C21" s="46" t="s">
        <v>664</v>
      </c>
      <c r="D21" s="46" t="s">
        <v>665</v>
      </c>
      <c r="E21" s="46" t="s">
        <v>399</v>
      </c>
    </row>
    <row r="22" customFormat="false" ht="31.5" hidden="false" customHeight="true" outlineLevel="0" collapsed="false">
      <c r="B22" s="45" t="s">
        <v>399</v>
      </c>
      <c r="C22" s="46" t="s">
        <v>666</v>
      </c>
      <c r="D22" s="46" t="s">
        <v>667</v>
      </c>
      <c r="E22" s="46" t="s">
        <v>399</v>
      </c>
    </row>
    <row r="23" customFormat="false" ht="31.5" hidden="false" customHeight="true" outlineLevel="0" collapsed="false">
      <c r="B23" s="45" t="s">
        <v>668</v>
      </c>
      <c r="C23" s="46" t="s">
        <v>669</v>
      </c>
      <c r="D23" s="46" t="s">
        <v>670</v>
      </c>
      <c r="E23" s="46" t="s">
        <v>671</v>
      </c>
    </row>
    <row r="24" customFormat="false" ht="31.5" hidden="false" customHeight="true" outlineLevel="0" collapsed="false">
      <c r="B24" s="45" t="s">
        <v>672</v>
      </c>
      <c r="C24" s="46" t="s">
        <v>673</v>
      </c>
      <c r="D24" s="46" t="s">
        <v>674</v>
      </c>
      <c r="E24" s="46" t="s">
        <v>671</v>
      </c>
    </row>
    <row r="25" customFormat="false" ht="31.5" hidden="false" customHeight="true" outlineLevel="0" collapsed="false">
      <c r="B25" s="45" t="s">
        <v>675</v>
      </c>
      <c r="C25" s="46" t="s">
        <v>676</v>
      </c>
      <c r="D25" s="46" t="s">
        <v>677</v>
      </c>
      <c r="E25" s="46" t="s">
        <v>678</v>
      </c>
    </row>
    <row r="26" customFormat="false" ht="31.5" hidden="false" customHeight="true" outlineLevel="0" collapsed="false">
      <c r="B26" s="45" t="s">
        <v>679</v>
      </c>
      <c r="C26" s="46" t="s">
        <v>680</v>
      </c>
      <c r="D26" s="46" t="s">
        <v>681</v>
      </c>
      <c r="E26" s="46" t="s">
        <v>671</v>
      </c>
    </row>
    <row r="27" customFormat="false" ht="31.5" hidden="false" customHeight="true" outlineLevel="0" collapsed="false">
      <c r="B27" s="45" t="s">
        <v>233</v>
      </c>
      <c r="C27" s="46" t="s">
        <v>682</v>
      </c>
      <c r="D27" s="46" t="s">
        <v>683</v>
      </c>
      <c r="E27" s="46" t="s">
        <v>628</v>
      </c>
    </row>
    <row r="28" customFormat="false" ht="31.5" hidden="false" customHeight="true" outlineLevel="0" collapsed="false">
      <c r="B28" s="45" t="s">
        <v>684</v>
      </c>
      <c r="C28" s="46" t="s">
        <v>685</v>
      </c>
      <c r="D28" s="46" t="s">
        <v>686</v>
      </c>
      <c r="E28" s="46" t="s">
        <v>671</v>
      </c>
    </row>
    <row r="29" customFormat="false" ht="31.5" hidden="false" customHeight="true" outlineLevel="0" collapsed="false">
      <c r="B29" s="45" t="s">
        <v>687</v>
      </c>
      <c r="C29" s="46" t="s">
        <v>688</v>
      </c>
      <c r="D29" s="46" t="s">
        <v>689</v>
      </c>
      <c r="E29" s="46" t="s">
        <v>671</v>
      </c>
    </row>
    <row r="30" customFormat="false" ht="31.5" hidden="false" customHeight="true" outlineLevel="0" collapsed="false">
      <c r="B30" s="45" t="s">
        <v>460</v>
      </c>
      <c r="C30" s="46" t="s">
        <v>690</v>
      </c>
      <c r="D30" s="46" t="s">
        <v>691</v>
      </c>
      <c r="E30" s="46" t="s">
        <v>692</v>
      </c>
    </row>
    <row r="31" customFormat="false" ht="31.5" hidden="false" customHeight="true" outlineLevel="0" collapsed="false">
      <c r="B31" s="45" t="s">
        <v>462</v>
      </c>
      <c r="C31" s="46" t="s">
        <v>693</v>
      </c>
      <c r="D31" s="46" t="s">
        <v>694</v>
      </c>
      <c r="E31" s="46" t="s">
        <v>692</v>
      </c>
    </row>
    <row r="32" customFormat="false" ht="31.5" hidden="false" customHeight="true" outlineLevel="0" collapsed="false">
      <c r="B32" s="45" t="s">
        <v>463</v>
      </c>
      <c r="C32" s="46" t="s">
        <v>695</v>
      </c>
      <c r="D32" s="46" t="s">
        <v>696</v>
      </c>
      <c r="E32" s="46" t="s">
        <v>692</v>
      </c>
    </row>
    <row r="33" customFormat="false" ht="31.5" hidden="false" customHeight="true" outlineLevel="0" collapsed="false">
      <c r="B33" s="45" t="s">
        <v>697</v>
      </c>
      <c r="C33" s="46" t="s">
        <v>698</v>
      </c>
      <c r="D33" s="46" t="s">
        <v>699</v>
      </c>
      <c r="E33" s="46" t="s">
        <v>628</v>
      </c>
    </row>
    <row r="34" customFormat="false" ht="31.5" hidden="false" customHeight="true" outlineLevel="0" collapsed="false">
      <c r="B34" s="45" t="s">
        <v>700</v>
      </c>
      <c r="C34" s="46" t="s">
        <v>701</v>
      </c>
      <c r="D34" s="46" t="s">
        <v>702</v>
      </c>
      <c r="E34" s="46" t="s">
        <v>628</v>
      </c>
    </row>
    <row r="35" customFormat="false" ht="31.5" hidden="false" customHeight="true" outlineLevel="0" collapsed="false">
      <c r="B35" s="45" t="s">
        <v>235</v>
      </c>
      <c r="C35" s="46" t="s">
        <v>703</v>
      </c>
      <c r="D35" s="46" t="s">
        <v>312</v>
      </c>
      <c r="E35" s="46" t="s">
        <v>628</v>
      </c>
    </row>
    <row r="36" customFormat="false" ht="31.5" hidden="false" customHeight="true" outlineLevel="0" collapsed="false">
      <c r="B36" s="45" t="s">
        <v>531</v>
      </c>
      <c r="C36" s="46" t="s">
        <v>704</v>
      </c>
      <c r="D36" s="46" t="s">
        <v>705</v>
      </c>
      <c r="E36" s="46" t="s">
        <v>671</v>
      </c>
    </row>
    <row r="37" customFormat="false" ht="31.5" hidden="false" customHeight="true" outlineLevel="0" collapsed="false">
      <c r="B37" s="45" t="s">
        <v>530</v>
      </c>
      <c r="C37" s="46" t="s">
        <v>706</v>
      </c>
      <c r="D37" s="46" t="s">
        <v>707</v>
      </c>
      <c r="E37" s="46" t="s">
        <v>530</v>
      </c>
    </row>
    <row r="38" customFormat="false" ht="31.5" hidden="false" customHeight="true" outlineLevel="0" collapsed="false">
      <c r="B38" s="45" t="s">
        <v>532</v>
      </c>
      <c r="C38" s="46" t="s">
        <v>708</v>
      </c>
      <c r="D38" s="46" t="s">
        <v>709</v>
      </c>
      <c r="E38" s="46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678</v>
      </c>
    </row>
    <row r="2" customFormat="false" ht="15" hidden="false" customHeight="false" outlineLevel="0" collapsed="false">
      <c r="B2" s="2" t="s">
        <v>710</v>
      </c>
    </row>
    <row r="4" customFormat="false" ht="15" hidden="false" customHeight="false" outlineLevel="0" collapsed="false">
      <c r="L4" s="4" t="s">
        <v>711</v>
      </c>
    </row>
    <row r="5" customFormat="false" ht="16.15" hidden="false" customHeight="false" outlineLevel="0" collapsed="false">
      <c r="B5" s="47" t="str">
        <f aca="false">"EM USO: "&amp;INDEX($L$5:$L$7,Painel!$Y$5)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712</v>
      </c>
      <c r="C6" s="9" t="s">
        <v>713</v>
      </c>
      <c r="D6" s="9" t="s">
        <v>13</v>
      </c>
      <c r="E6" s="9" t="s">
        <v>8</v>
      </c>
      <c r="F6" s="9" t="s">
        <v>14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714</v>
      </c>
      <c r="C7" s="48" t="n">
        <f aca="false">INDEX(C$1:C$157,ROW()+38*Painel!$Y$5)</f>
        <v>0.0209</v>
      </c>
      <c r="D7" s="48" t="n">
        <f aca="false">INDEX(D$1:D$157,ROW()+38*Painel!$Y$5)</f>
        <v>0</v>
      </c>
      <c r="E7" s="48" t="n">
        <f aca="false">INDEX(E$1:E$157,ROW()+38*Painel!$Y$5)</f>
        <v>0.0378</v>
      </c>
      <c r="F7" s="48" t="n">
        <f aca="false">INDEX(F$1:F$157,ROW()+38*Painel!$Y$5)</f>
        <v>0.0683</v>
      </c>
      <c r="L7" s="7" t="s">
        <v>10</v>
      </c>
    </row>
    <row r="8" customFormat="false" ht="15" hidden="false" customHeight="false" outlineLevel="0" collapsed="false">
      <c r="B8" s="0" t="s">
        <v>18</v>
      </c>
      <c r="C8" s="48" t="n">
        <f aca="false">INDEX(C$1:C$157,ROW()+38*Painel!$Y$5)</f>
        <v>0.3459</v>
      </c>
      <c r="D8" s="48" t="n">
        <f aca="false">INDEX(D$1:D$157,ROW()+38*Painel!$Y$5)</f>
        <v>0.3484</v>
      </c>
      <c r="E8" s="48" t="n">
        <f aca="false">INDEX(E$1:E$157,ROW()+38*Painel!$Y$5)</f>
        <v>0.3936</v>
      </c>
      <c r="F8" s="48" t="n">
        <f aca="false">INDEX(F$1:F$157,ROW()+38*Painel!$Y$5)</f>
        <v>0.4542</v>
      </c>
    </row>
    <row r="9" customFormat="false" ht="15" hidden="false" customHeight="false" outlineLevel="0" collapsed="false">
      <c r="B9" s="0" t="s">
        <v>715</v>
      </c>
      <c r="D9" s="32" t="n">
        <f aca="false">INDEX(D$1:D$157,ROW()+38*Painel!$Y$5)</f>
        <v>0.0156</v>
      </c>
      <c r="E9" s="32" t="n">
        <f aca="false">INDEX(E$1:E$157,ROW()+38*Painel!$Y$5)</f>
        <v>0</v>
      </c>
      <c r="F9" s="32" t="n">
        <f aca="false">INDEX(F$1:F$157,ROW()+38*Painel!$Y$5)</f>
        <v>-0.0156</v>
      </c>
    </row>
    <row r="11" customFormat="false" ht="15" hidden="false" customHeight="false" outlineLevel="0" collapsed="false">
      <c r="B11" s="8" t="s">
        <v>716</v>
      </c>
      <c r="C11" s="9"/>
      <c r="D11" s="9" t="s">
        <v>246</v>
      </c>
      <c r="E11" s="9" t="s">
        <v>247</v>
      </c>
      <c r="F11" s="9" t="s">
        <v>248</v>
      </c>
      <c r="G11" s="9" t="s">
        <v>249</v>
      </c>
      <c r="H11" s="9" t="s">
        <v>250</v>
      </c>
      <c r="I11" s="8"/>
    </row>
    <row r="12" customFormat="false" ht="15" hidden="false" customHeight="false" outlineLevel="0" collapsed="false">
      <c r="B12" s="0" t="s">
        <v>717</v>
      </c>
      <c r="D12" s="48" t="n">
        <f aca="false">INDEX(D$1:D$157,ROW()+38*Painel!$Y$5)</f>
        <v>0.083</v>
      </c>
      <c r="E12" s="48" t="n">
        <f aca="false">INDEX(E$1:E$157,ROW()+38*Painel!$Y$5)</f>
        <v>0.0815</v>
      </c>
      <c r="F12" s="48" t="n">
        <f aca="false">INDEX(F$1:F$157,ROW()+38*Painel!$Y$5)</f>
        <v>0.08</v>
      </c>
      <c r="G12" s="48" t="n">
        <f aca="false">INDEX(G$1:G$157,ROW()+38*Painel!$Y$5)</f>
        <v>0.0785</v>
      </c>
      <c r="H12" s="48" t="n">
        <f aca="false">INDEX(H$1:H$157,ROW()+38*Painel!$Y$5)</f>
        <v>0.077</v>
      </c>
    </row>
    <row r="13" customFormat="false" ht="15" hidden="false" customHeight="false" outlineLevel="0" collapsed="false">
      <c r="B13" s="0" t="s">
        <v>718</v>
      </c>
      <c r="D13" s="31" t="n">
        <f aca="false">INDEX(D$1:D$157,ROW()+38*Painel!$Y$5)</f>
        <v>-1570</v>
      </c>
      <c r="E13" s="31" t="n">
        <f aca="false">INDEX(E$1:E$157,ROW()+38*Painel!$Y$5)</f>
        <v>-1570</v>
      </c>
      <c r="F13" s="31" t="n">
        <f aca="false">INDEX(F$1:F$157,ROW()+38*Painel!$Y$5)</f>
        <v>-1570</v>
      </c>
      <c r="G13" s="31" t="n">
        <f aca="false">INDEX(G$1:G$157,ROW()+38*Painel!$Y$5)</f>
        <v>-1570</v>
      </c>
      <c r="H13" s="31" t="n">
        <f aca="false">INDEX(H$1:H$157,ROW()+38*Painel!$Y$5)</f>
        <v>-1570</v>
      </c>
    </row>
    <row r="14" customFormat="false" ht="15" hidden="false" customHeight="false" outlineLevel="0" collapsed="false">
      <c r="B14" s="0" t="s">
        <v>719</v>
      </c>
      <c r="D14" s="48" t="n">
        <f aca="false">INDEX(D$1:D$157,ROW()+38*Painel!$Y$5)</f>
        <v>0.146</v>
      </c>
      <c r="E14" s="48" t="n">
        <f aca="false">INDEX(E$1:E$157,ROW()+38*Painel!$Y$5)</f>
        <v>0.1449</v>
      </c>
      <c r="F14" s="48" t="n">
        <f aca="false">INDEX(F$1:F$157,ROW()+38*Painel!$Y$5)</f>
        <v>0.1438</v>
      </c>
      <c r="G14" s="48" t="n">
        <f aca="false">INDEX(G$1:G$157,ROW()+38*Painel!$Y$5)</f>
        <v>0.1427</v>
      </c>
      <c r="H14" s="48" t="n">
        <f aca="false">INDEX(H$1:H$157,ROW()+38*Painel!$Y$5)</f>
        <v>0.1415</v>
      </c>
    </row>
    <row r="15" customFormat="false" ht="15" hidden="false" customHeight="false" outlineLevel="0" collapsed="false">
      <c r="B15" s="0" t="s">
        <v>720</v>
      </c>
      <c r="D15" s="48" t="n">
        <f aca="false">INDEX(D$1:D$157,ROW()+38*Painel!$Y$5)</f>
        <v>0.0569</v>
      </c>
      <c r="E15" s="48" t="n">
        <f aca="false">INDEX(E$1:E$157,ROW()+38*Painel!$Y$5)</f>
        <v>0.0569</v>
      </c>
      <c r="F15" s="48" t="n">
        <f aca="false">INDEX(F$1:F$157,ROW()+38*Painel!$Y$5)</f>
        <v>0.0569</v>
      </c>
      <c r="G15" s="48" t="n">
        <f aca="false">INDEX(G$1:G$157,ROW()+38*Painel!$Y$5)</f>
        <v>0.0569</v>
      </c>
      <c r="H15" s="48" t="n">
        <f aca="false">INDEX(H$1:H$157,ROW()+38*Painel!$Y$5)</f>
        <v>0.0569</v>
      </c>
    </row>
    <row r="16" customFormat="false" ht="15" hidden="false" customHeight="false" outlineLevel="0" collapsed="false">
      <c r="B16" s="0" t="s">
        <v>219</v>
      </c>
      <c r="D16" s="49" t="n">
        <f aca="false">INDEX(D$1:D$157,ROW()+38*Painel!$Y$5)</f>
        <v>21.598</v>
      </c>
      <c r="E16" s="49" t="n">
        <f aca="false">INDEX(E$1:E$157,ROW()+38*Painel!$Y$5)</f>
        <v>21.598</v>
      </c>
      <c r="F16" s="49" t="n">
        <f aca="false">INDEX(F$1:F$157,ROW()+38*Painel!$Y$5)</f>
        <v>21.598</v>
      </c>
      <c r="G16" s="49" t="n">
        <f aca="false">INDEX(G$1:G$157,ROW()+38*Painel!$Y$5)</f>
        <v>21.598</v>
      </c>
      <c r="H16" s="49" t="n">
        <f aca="false">INDEX(H$1:H$157,ROW()+38*Painel!$Y$5)</f>
        <v>21.598</v>
      </c>
    </row>
    <row r="17" customFormat="false" ht="15" hidden="false" customHeight="false" outlineLevel="0" collapsed="false">
      <c r="B17" s="0" t="s">
        <v>221</v>
      </c>
      <c r="D17" s="49" t="n">
        <f aca="false">INDEX(D$1:D$157,ROW()+38*Painel!$Y$5)</f>
        <v>98.067</v>
      </c>
      <c r="E17" s="49" t="n">
        <f aca="false">INDEX(E$1:E$157,ROW()+38*Painel!$Y$5)</f>
        <v>98.067</v>
      </c>
      <c r="F17" s="49" t="n">
        <f aca="false">INDEX(F$1:F$157,ROW()+38*Painel!$Y$5)</f>
        <v>98.067</v>
      </c>
      <c r="G17" s="49" t="n">
        <f aca="false">INDEX(G$1:G$157,ROW()+38*Painel!$Y$5)</f>
        <v>98.067</v>
      </c>
      <c r="H17" s="49" t="n">
        <f aca="false">INDEX(H$1:H$157,ROW()+38*Painel!$Y$5)</f>
        <v>98.067</v>
      </c>
    </row>
    <row r="18" customFormat="false" ht="15" hidden="false" customHeight="false" outlineLevel="0" collapsed="false">
      <c r="B18" s="0" t="s">
        <v>223</v>
      </c>
      <c r="D18" s="49" t="n">
        <f aca="false">INDEX(D$1:D$157,ROW()+38*Painel!$Y$5)</f>
        <v>91.9277</v>
      </c>
      <c r="E18" s="49" t="n">
        <f aca="false">INDEX(E$1:E$157,ROW()+38*Painel!$Y$5)</f>
        <v>91.9277</v>
      </c>
      <c r="F18" s="49" t="n">
        <f aca="false">INDEX(F$1:F$157,ROW()+38*Painel!$Y$5)</f>
        <v>91.9277</v>
      </c>
      <c r="G18" s="49" t="n">
        <f aca="false">INDEX(G$1:G$157,ROW()+38*Painel!$Y$5)</f>
        <v>91.9277</v>
      </c>
      <c r="H18" s="49" t="n">
        <f aca="false">INDEX(H$1:H$157,ROW()+38*Painel!$Y$5)</f>
        <v>91.9277</v>
      </c>
    </row>
    <row r="19" customFormat="false" ht="15" hidden="false" customHeight="false" outlineLevel="0" collapsed="false">
      <c r="B19" s="0" t="s">
        <v>721</v>
      </c>
      <c r="D19" s="31" t="n">
        <f aca="false">INDEX(D$1:D$157,ROW()+38*Painel!$Y$5)</f>
        <v>0</v>
      </c>
      <c r="E19" s="31" t="n">
        <f aca="false">INDEX(E$1:E$157,ROW()+38*Painel!$Y$5)</f>
        <v>0</v>
      </c>
      <c r="F19" s="31" t="n">
        <f aca="false">INDEX(F$1:F$157,ROW()+38*Painel!$Y$5)</f>
        <v>0</v>
      </c>
      <c r="G19" s="31" t="n">
        <f aca="false">INDEX(G$1:G$157,ROW()+38*Painel!$Y$5)</f>
        <v>0</v>
      </c>
      <c r="H19" s="31" t="n">
        <f aca="false">INDEX(H$1:H$157,ROW()+38*Painel!$Y$5)</f>
        <v>0</v>
      </c>
    </row>
    <row r="21" customFormat="false" ht="15" hidden="false" customHeight="false" outlineLevel="0" collapsed="false">
      <c r="B21" s="8" t="s">
        <v>722</v>
      </c>
      <c r="C21" s="9"/>
      <c r="D21" s="9" t="s">
        <v>22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360</v>
      </c>
      <c r="D22" s="48" t="n">
        <f aca="false">INDEX(D$1:D$157,ROW()+38*Painel!$Y$5)</f>
        <v>0.34</v>
      </c>
    </row>
    <row r="23" customFormat="false" ht="15" hidden="false" customHeight="false" outlineLevel="0" collapsed="false">
      <c r="B23" s="0" t="s">
        <v>358</v>
      </c>
      <c r="D23" s="48" t="n">
        <f aca="false">INDEX(D$1:D$157,ROW()+38*Painel!$Y$5)</f>
        <v>0.1291</v>
      </c>
    </row>
    <row r="24" customFormat="false" ht="15" hidden="false" customHeight="false" outlineLevel="0" collapsed="false">
      <c r="B24" s="0" t="s">
        <v>491</v>
      </c>
      <c r="D24" s="48" t="n">
        <f aca="false">INDEX(D$1:D$157,ROW()+38*Painel!$Y$5)</f>
        <v>0.0936</v>
      </c>
    </row>
    <row r="25" customFormat="false" ht="15" hidden="false" customHeight="false" outlineLevel="0" collapsed="false">
      <c r="B25" s="0" t="s">
        <v>723</v>
      </c>
      <c r="D25" s="48" t="n">
        <f aca="false">INDEX(D$1:D$157,ROW()+38*Painel!$Y$5)</f>
        <v>0.679</v>
      </c>
    </row>
    <row r="26" customFormat="false" ht="15" hidden="false" customHeight="false" outlineLevel="0" collapsed="false">
      <c r="B26" s="0" t="s">
        <v>347</v>
      </c>
      <c r="D26" s="48" t="n">
        <f aca="false">INDEX(D$1:D$157,ROW()+38*Painel!$Y$5)</f>
        <v>0.1291</v>
      </c>
    </row>
    <row r="27" customFormat="false" ht="15" hidden="false" customHeight="false" outlineLevel="0" collapsed="false">
      <c r="B27" s="0" t="s">
        <v>349</v>
      </c>
      <c r="D27" s="50" t="n">
        <f aca="false">INDEX(D$1:D$157,ROW()+38*Painel!$Y$5)</f>
        <v>0.7558</v>
      </c>
    </row>
    <row r="28" customFormat="false" ht="15" hidden="false" customHeight="false" outlineLevel="0" collapsed="false">
      <c r="B28" s="0" t="s">
        <v>351</v>
      </c>
      <c r="D28" s="48" t="n">
        <f aca="false">INDEX(D$1:D$157,ROW()+38*Painel!$Y$5)</f>
        <v>0.0423</v>
      </c>
    </row>
    <row r="29" customFormat="false" ht="15" hidden="false" customHeight="false" outlineLevel="0" collapsed="false">
      <c r="B29" s="0" t="s">
        <v>724</v>
      </c>
      <c r="D29" s="48" t="n">
        <f aca="false">INDEX(D$1:D$157,ROW()+38*Painel!$Y$5)</f>
        <v>0</v>
      </c>
    </row>
    <row r="30" customFormat="false" ht="15" hidden="false" customHeight="false" outlineLevel="0" collapsed="false">
      <c r="B30" s="0" t="s">
        <v>725</v>
      </c>
      <c r="D30" s="48" t="n">
        <f aca="false">INDEX(D$1:D$157,ROW()+38*Painel!$Y$5)</f>
        <v>0.2625</v>
      </c>
    </row>
    <row r="31" customFormat="false" ht="15" hidden="false" customHeight="false" outlineLevel="0" collapsed="false">
      <c r="B31" s="0" t="s">
        <v>401</v>
      </c>
      <c r="D31" s="48" t="n">
        <f aca="false">INDEX(D$1:D$157,ROW()+38*Painel!$Y$5)</f>
        <v>0.035</v>
      </c>
    </row>
    <row r="32" customFormat="false" ht="15" hidden="false" customHeight="false" outlineLevel="0" collapsed="false">
      <c r="B32" s="0" t="s">
        <v>726</v>
      </c>
      <c r="D32" s="51" t="n">
        <f aca="false">INDEX(D$1:D$157,ROW()+38*Painel!$Y$5)</f>
        <v>1</v>
      </c>
    </row>
    <row r="33" customFormat="false" ht="15" hidden="false" customHeight="false" outlineLevel="0" collapsed="false">
      <c r="B33" s="0" t="s">
        <v>727</v>
      </c>
      <c r="D33" s="31" t="n">
        <f aca="false">INDEX(D$1:D$157,ROW()+38*Painel!$Y$5)</f>
        <v>0</v>
      </c>
    </row>
    <row r="35" customFormat="false" ht="15" hidden="false" customHeight="false" outlineLevel="0" collapsed="false">
      <c r="B35" s="8" t="s">
        <v>728</v>
      </c>
      <c r="C35" s="9"/>
      <c r="D35" s="9" t="s">
        <v>22</v>
      </c>
      <c r="E35" s="9"/>
      <c r="F35" s="9"/>
      <c r="G35" s="9"/>
      <c r="H35" s="9"/>
      <c r="I35" s="8"/>
    </row>
    <row r="36" customFormat="false" ht="15" hidden="false" customHeight="false" outlineLevel="0" collapsed="false">
      <c r="B36" s="0" t="s">
        <v>729</v>
      </c>
      <c r="D36" s="52" t="n">
        <f aca="false">INDEX(D$1:D$157,ROW()+38*Painel!$Y$5)</f>
        <v>46203</v>
      </c>
    </row>
    <row r="37" customFormat="false" ht="15" hidden="false" customHeight="false" outlineLevel="0" collapsed="false">
      <c r="B37" s="0" t="s">
        <v>422</v>
      </c>
      <c r="D37" s="53" t="n">
        <f aca="false">INDEX(D$1:D$157,ROW()+38*Painel!$Y$5)</f>
        <v>4072.366</v>
      </c>
    </row>
    <row r="38" customFormat="false" ht="15" hidden="false" customHeight="false" outlineLevel="0" collapsed="false">
      <c r="B38" s="0" t="s">
        <v>730</v>
      </c>
      <c r="D38" s="41" t="n">
        <f aca="false">INDEX(D$1:D$157,ROW()+38*Painel!$Y$5)</f>
        <v>67.64</v>
      </c>
    </row>
    <row r="39" customFormat="false" ht="15" hidden="false" customHeight="false" outlineLevel="0" collapsed="false">
      <c r="B39" s="0" t="s">
        <v>378</v>
      </c>
      <c r="D39" s="31" t="n">
        <f aca="false">INDEX(D$1:D$157,ROW()+38*Painel!$Y$5)</f>
        <v>275454.8362</v>
      </c>
    </row>
    <row r="40" customFormat="false" ht="15" hidden="false" customHeight="false" outlineLevel="0" collapsed="false">
      <c r="B40" s="0" t="s">
        <v>731</v>
      </c>
      <c r="D40" s="54" t="str">
        <f aca="false">INDEX(D$1:D$157,ROW()+38*Painel!$Y$5)</f>
        <v>2026-10-08</v>
      </c>
    </row>
    <row r="43" customFormat="false" ht="16.15" hidden="false" customHeight="false" outlineLevel="0" collapsed="false">
      <c r="B43" s="47" t="s">
        <v>5</v>
      </c>
    </row>
    <row r="44" customFormat="false" ht="15" hidden="false" customHeight="false" outlineLevel="0" collapsed="false">
      <c r="B44" s="8" t="s">
        <v>712</v>
      </c>
      <c r="C44" s="9" t="s">
        <v>713</v>
      </c>
      <c r="D44" s="9" t="s">
        <v>13</v>
      </c>
      <c r="E44" s="9" t="s">
        <v>8</v>
      </c>
      <c r="F44" s="9" t="s">
        <v>14</v>
      </c>
      <c r="G44" s="9"/>
      <c r="H44" s="9"/>
      <c r="I44" s="8" t="s">
        <v>732</v>
      </c>
    </row>
    <row r="45" customFormat="false" ht="15" hidden="false" customHeight="false" outlineLevel="0" collapsed="false">
      <c r="B45" s="0" t="s">
        <v>714</v>
      </c>
      <c r="C45" s="12" t="n">
        <v>0.0209</v>
      </c>
      <c r="D45" s="12" t="n">
        <v>0</v>
      </c>
      <c r="E45" s="12" t="n">
        <v>0.0378</v>
      </c>
      <c r="F45" s="12" t="n">
        <v>0.0683</v>
      </c>
      <c r="I45" s="2" t="s">
        <v>733</v>
      </c>
    </row>
    <row r="46" customFormat="false" ht="15" hidden="false" customHeight="false" outlineLevel="0" collapsed="false">
      <c r="B46" s="0" t="s">
        <v>18</v>
      </c>
      <c r="C46" s="12" t="n">
        <v>0.3459</v>
      </c>
      <c r="D46" s="12" t="n">
        <v>0.3484</v>
      </c>
      <c r="E46" s="12" t="n">
        <v>0.3936</v>
      </c>
      <c r="F46" s="12" t="n">
        <v>0.4542</v>
      </c>
      <c r="I46" s="2" t="s">
        <v>734</v>
      </c>
    </row>
    <row r="47" customFormat="false" ht="15" hidden="false" customHeight="false" outlineLevel="0" collapsed="false">
      <c r="B47" s="0" t="s">
        <v>715</v>
      </c>
      <c r="D47" s="55" t="n">
        <v>0.0156</v>
      </c>
      <c r="E47" s="55" t="n">
        <v>0</v>
      </c>
      <c r="F47" s="55" t="n">
        <v>-0.0156</v>
      </c>
      <c r="I47" s="2" t="s">
        <v>735</v>
      </c>
    </row>
    <row r="49" customFormat="false" ht="15" hidden="false" customHeight="false" outlineLevel="0" collapsed="false">
      <c r="B49" s="8" t="s">
        <v>716</v>
      </c>
      <c r="C49" s="9"/>
      <c r="D49" s="9" t="s">
        <v>246</v>
      </c>
      <c r="E49" s="9" t="s">
        <v>247</v>
      </c>
      <c r="F49" s="9" t="s">
        <v>248</v>
      </c>
      <c r="G49" s="9" t="s">
        <v>249</v>
      </c>
      <c r="H49" s="9" t="s">
        <v>250</v>
      </c>
      <c r="I49" s="8" t="s">
        <v>732</v>
      </c>
    </row>
    <row r="50" customFormat="false" ht="15" hidden="false" customHeight="false" outlineLevel="0" collapsed="false">
      <c r="B50" s="0" t="s">
        <v>717</v>
      </c>
      <c r="D50" s="12" t="n">
        <v>0.083</v>
      </c>
      <c r="E50" s="12" t="n">
        <v>0.0815</v>
      </c>
      <c r="F50" s="12" t="n">
        <v>0.08</v>
      </c>
      <c r="G50" s="12" t="n">
        <v>0.0785</v>
      </c>
      <c r="H50" s="12" t="n">
        <v>0.077</v>
      </c>
      <c r="I50" s="2" t="s">
        <v>736</v>
      </c>
    </row>
    <row r="51" customFormat="false" ht="15" hidden="false" customHeight="false" outlineLevel="0" collapsed="false">
      <c r="B51" s="0" t="s">
        <v>718</v>
      </c>
      <c r="D51" s="56" t="n">
        <v>-1570</v>
      </c>
      <c r="E51" s="56" t="n">
        <v>-1570</v>
      </c>
      <c r="F51" s="56" t="n">
        <v>-1570</v>
      </c>
      <c r="G51" s="56" t="n">
        <v>-1570</v>
      </c>
      <c r="H51" s="56" t="n">
        <v>-1570</v>
      </c>
      <c r="I51" s="2" t="s">
        <v>737</v>
      </c>
    </row>
    <row r="52" customFormat="false" ht="15" hidden="false" customHeight="false" outlineLevel="0" collapsed="false">
      <c r="B52" s="0" t="s">
        <v>719</v>
      </c>
      <c r="D52" s="12" t="n">
        <v>0.146</v>
      </c>
      <c r="E52" s="12" t="n">
        <v>0.1449</v>
      </c>
      <c r="F52" s="12" t="n">
        <v>0.1438</v>
      </c>
      <c r="G52" s="12" t="n">
        <v>0.1427</v>
      </c>
      <c r="H52" s="12" t="n">
        <v>0.1415</v>
      </c>
      <c r="I52" s="2" t="s">
        <v>738</v>
      </c>
    </row>
    <row r="53" customFormat="false" ht="15" hidden="false" customHeight="false" outlineLevel="0" collapsed="false">
      <c r="B53" s="0" t="s">
        <v>720</v>
      </c>
      <c r="D53" s="12" t="n">
        <v>0.0569</v>
      </c>
      <c r="E53" s="12" t="n">
        <v>0.0569</v>
      </c>
      <c r="F53" s="12" t="n">
        <v>0.0569</v>
      </c>
      <c r="G53" s="12" t="n">
        <v>0.0569</v>
      </c>
      <c r="H53" s="12" t="n">
        <v>0.0569</v>
      </c>
      <c r="I53" s="2" t="s">
        <v>737</v>
      </c>
    </row>
    <row r="54" customFormat="false" ht="15" hidden="false" customHeight="false" outlineLevel="0" collapsed="false">
      <c r="B54" s="0" t="s">
        <v>219</v>
      </c>
      <c r="D54" s="57" t="n">
        <v>21.598</v>
      </c>
      <c r="E54" s="57" t="n">
        <v>21.598</v>
      </c>
      <c r="F54" s="57" t="n">
        <v>21.598</v>
      </c>
      <c r="G54" s="57" t="n">
        <v>21.598</v>
      </c>
      <c r="H54" s="57" t="n">
        <v>21.598</v>
      </c>
      <c r="I54" s="2" t="s">
        <v>739</v>
      </c>
    </row>
    <row r="55" customFormat="false" ht="15" hidden="false" customHeight="false" outlineLevel="0" collapsed="false">
      <c r="B55" s="0" t="s">
        <v>221</v>
      </c>
      <c r="D55" s="57" t="n">
        <v>98.067</v>
      </c>
      <c r="E55" s="57" t="n">
        <v>98.067</v>
      </c>
      <c r="F55" s="57" t="n">
        <v>98.067</v>
      </c>
      <c r="G55" s="57" t="n">
        <v>98.067</v>
      </c>
      <c r="H55" s="57" t="n">
        <v>98.067</v>
      </c>
      <c r="I55" s="2" t="s">
        <v>739</v>
      </c>
    </row>
    <row r="56" customFormat="false" ht="15" hidden="false" customHeight="false" outlineLevel="0" collapsed="false">
      <c r="B56" s="0" t="s">
        <v>223</v>
      </c>
      <c r="D56" s="57" t="n">
        <v>91.9277</v>
      </c>
      <c r="E56" s="57" t="n">
        <v>91.9277</v>
      </c>
      <c r="F56" s="57" t="n">
        <v>91.9277</v>
      </c>
      <c r="G56" s="57" t="n">
        <v>91.9277</v>
      </c>
      <c r="H56" s="57" t="n">
        <v>91.9277</v>
      </c>
      <c r="I56" s="2" t="s">
        <v>739</v>
      </c>
    </row>
    <row r="57" customFormat="false" ht="15" hidden="false" customHeight="false" outlineLevel="0" collapsed="false">
      <c r="B57" s="0" t="s">
        <v>721</v>
      </c>
      <c r="D57" s="56" t="n">
        <v>0</v>
      </c>
      <c r="E57" s="56" t="n">
        <v>0</v>
      </c>
      <c r="F57" s="56" t="n">
        <v>0</v>
      </c>
      <c r="G57" s="56" t="n">
        <v>0</v>
      </c>
      <c r="H57" s="56" t="n">
        <v>0</v>
      </c>
      <c r="I57" s="2" t="s">
        <v>740</v>
      </c>
    </row>
    <row r="59" customFormat="false" ht="15" hidden="false" customHeight="false" outlineLevel="0" collapsed="false">
      <c r="B59" s="8" t="s">
        <v>722</v>
      </c>
      <c r="C59" s="9"/>
      <c r="D59" s="9" t="s">
        <v>22</v>
      </c>
      <c r="E59" s="9"/>
      <c r="F59" s="9"/>
      <c r="G59" s="9"/>
      <c r="H59" s="9"/>
      <c r="I59" s="8" t="s">
        <v>732</v>
      </c>
    </row>
    <row r="60" customFormat="false" ht="15" hidden="false" customHeight="false" outlineLevel="0" collapsed="false">
      <c r="B60" s="0" t="s">
        <v>360</v>
      </c>
      <c r="D60" s="12" t="n">
        <v>0.34</v>
      </c>
      <c r="I60" s="2" t="s">
        <v>741</v>
      </c>
    </row>
    <row r="61" customFormat="false" ht="15" hidden="false" customHeight="false" outlineLevel="0" collapsed="false">
      <c r="B61" s="0" t="s">
        <v>358</v>
      </c>
      <c r="D61" s="12" t="n">
        <v>0.1291</v>
      </c>
      <c r="I61" s="2" t="s">
        <v>742</v>
      </c>
    </row>
    <row r="62" customFormat="false" ht="15" hidden="false" customHeight="false" outlineLevel="0" collapsed="false">
      <c r="B62" s="0" t="s">
        <v>491</v>
      </c>
      <c r="D62" s="12" t="n">
        <v>0.0936</v>
      </c>
      <c r="I62" s="2" t="s">
        <v>743</v>
      </c>
    </row>
    <row r="63" customFormat="false" ht="15" hidden="false" customHeight="false" outlineLevel="0" collapsed="false">
      <c r="B63" s="0" t="s">
        <v>723</v>
      </c>
      <c r="D63" s="12" t="n">
        <v>0.679</v>
      </c>
      <c r="I63" s="2" t="s">
        <v>744</v>
      </c>
    </row>
    <row r="64" customFormat="false" ht="15" hidden="false" customHeight="false" outlineLevel="0" collapsed="false">
      <c r="B64" s="0" t="s">
        <v>347</v>
      </c>
      <c r="D64" s="12" t="n">
        <v>0.1291</v>
      </c>
      <c r="I64" s="2" t="s">
        <v>745</v>
      </c>
    </row>
    <row r="65" customFormat="false" ht="15" hidden="false" customHeight="false" outlineLevel="0" collapsed="false">
      <c r="B65" s="0" t="s">
        <v>349</v>
      </c>
      <c r="D65" s="58" t="n">
        <v>0.7558</v>
      </c>
      <c r="I65" s="2" t="s">
        <v>746</v>
      </c>
    </row>
    <row r="66" customFormat="false" ht="15" hidden="false" customHeight="false" outlineLevel="0" collapsed="false">
      <c r="B66" s="0" t="s">
        <v>351</v>
      </c>
      <c r="D66" s="12" t="n">
        <v>0.0423</v>
      </c>
      <c r="I66" s="2" t="s">
        <v>747</v>
      </c>
    </row>
    <row r="67" customFormat="false" ht="15" hidden="false" customHeight="false" outlineLevel="0" collapsed="false">
      <c r="B67" s="0" t="s">
        <v>724</v>
      </c>
      <c r="D67" s="12" t="n">
        <v>0</v>
      </c>
      <c r="I67" s="2" t="s">
        <v>748</v>
      </c>
    </row>
    <row r="68" customFormat="false" ht="15" hidden="false" customHeight="false" outlineLevel="0" collapsed="false">
      <c r="B68" s="0" t="s">
        <v>725</v>
      </c>
      <c r="D68" s="12" t="n">
        <v>0.2625</v>
      </c>
      <c r="I68" s="2" t="s">
        <v>749</v>
      </c>
    </row>
    <row r="69" customFormat="false" ht="15" hidden="false" customHeight="false" outlineLevel="0" collapsed="false">
      <c r="B69" s="0" t="s">
        <v>401</v>
      </c>
      <c r="D69" s="12" t="n">
        <v>0.035</v>
      </c>
      <c r="I69" s="2" t="s">
        <v>750</v>
      </c>
    </row>
    <row r="70" customFormat="false" ht="15" hidden="false" customHeight="false" outlineLevel="0" collapsed="false">
      <c r="B70" s="0" t="s">
        <v>726</v>
      </c>
      <c r="D70" s="59" t="n">
        <v>1</v>
      </c>
      <c r="I70" s="2" t="s">
        <v>751</v>
      </c>
    </row>
    <row r="71" customFormat="false" ht="15" hidden="false" customHeight="false" outlineLevel="0" collapsed="false">
      <c r="B71" s="0" t="s">
        <v>727</v>
      </c>
      <c r="D71" s="56" t="n">
        <v>0</v>
      </c>
      <c r="I71" s="2" t="s">
        <v>752</v>
      </c>
    </row>
    <row r="73" customFormat="false" ht="15" hidden="false" customHeight="false" outlineLevel="0" collapsed="false">
      <c r="B73" s="8" t="s">
        <v>728</v>
      </c>
      <c r="C73" s="9"/>
      <c r="D73" s="9" t="s">
        <v>22</v>
      </c>
      <c r="E73" s="9"/>
      <c r="F73" s="9"/>
      <c r="G73" s="9"/>
      <c r="H73" s="9"/>
      <c r="I73" s="8" t="s">
        <v>732</v>
      </c>
    </row>
    <row r="74" customFormat="false" ht="15" hidden="false" customHeight="false" outlineLevel="0" collapsed="false">
      <c r="B74" s="0" t="s">
        <v>729</v>
      </c>
      <c r="D74" s="60" t="n">
        <v>46203</v>
      </c>
      <c r="I74" s="2" t="s">
        <v>753</v>
      </c>
    </row>
    <row r="75" customFormat="false" ht="15" hidden="false" customHeight="false" outlineLevel="0" collapsed="false">
      <c r="B75" s="0" t="s">
        <v>422</v>
      </c>
      <c r="D75" s="61" t="n">
        <v>4072.366</v>
      </c>
      <c r="I75" s="2" t="s">
        <v>754</v>
      </c>
    </row>
    <row r="76" customFormat="false" ht="15" hidden="false" customHeight="false" outlineLevel="0" collapsed="false">
      <c r="B76" s="0" t="s">
        <v>730</v>
      </c>
      <c r="D76" s="62" t="n">
        <v>67.64</v>
      </c>
      <c r="I76" s="2" t="s">
        <v>755</v>
      </c>
    </row>
    <row r="77" customFormat="false" ht="15" hidden="false" customHeight="false" outlineLevel="0" collapsed="false">
      <c r="B77" s="0" t="s">
        <v>378</v>
      </c>
      <c r="D77" s="56" t="n">
        <v>275454.8362</v>
      </c>
      <c r="I77" s="2" t="s">
        <v>756</v>
      </c>
    </row>
    <row r="78" customFormat="false" ht="15" hidden="false" customHeight="false" outlineLevel="0" collapsed="false">
      <c r="B78" s="0" t="s">
        <v>731</v>
      </c>
      <c r="D78" s="63" t="s">
        <v>757</v>
      </c>
      <c r="I78" s="2" t="s">
        <v>758</v>
      </c>
    </row>
    <row r="81" customFormat="false" ht="16.15" hidden="false" customHeight="false" outlineLevel="0" collapsed="false">
      <c r="B81" s="47" t="s">
        <v>9</v>
      </c>
    </row>
    <row r="82" customFormat="false" ht="15" hidden="false" customHeight="false" outlineLevel="0" collapsed="false">
      <c r="B82" s="8" t="s">
        <v>712</v>
      </c>
      <c r="C82" s="9" t="s">
        <v>713</v>
      </c>
      <c r="D82" s="9" t="s">
        <v>13</v>
      </c>
      <c r="E82" s="9" t="s">
        <v>8</v>
      </c>
      <c r="F82" s="9" t="s">
        <v>14</v>
      </c>
      <c r="G82" s="9"/>
      <c r="H82" s="9"/>
      <c r="I82" s="8" t="s">
        <v>732</v>
      </c>
    </row>
    <row r="83" customFormat="false" ht="15" hidden="false" customHeight="false" outlineLevel="0" collapsed="false">
      <c r="B83" s="0" t="s">
        <v>714</v>
      </c>
      <c r="C83" s="12" t="n">
        <v>0.0069</v>
      </c>
      <c r="D83" s="12" t="n">
        <v>0</v>
      </c>
      <c r="E83" s="12" t="n">
        <v>0.0378</v>
      </c>
      <c r="F83" s="12" t="n">
        <v>0.0778</v>
      </c>
      <c r="I83" s="2" t="s">
        <v>759</v>
      </c>
    </row>
    <row r="84" customFormat="false" ht="15" hidden="false" customHeight="false" outlineLevel="0" collapsed="false">
      <c r="B84" s="0" t="s">
        <v>18</v>
      </c>
      <c r="C84" s="12" t="n">
        <v>0.1713</v>
      </c>
      <c r="D84" s="12" t="n">
        <v>0.1884</v>
      </c>
      <c r="E84" s="12" t="n">
        <v>0.2002</v>
      </c>
      <c r="F84" s="12" t="n">
        <v>0.237</v>
      </c>
      <c r="I84" s="2" t="s">
        <v>734</v>
      </c>
    </row>
    <row r="85" customFormat="false" ht="15" hidden="false" customHeight="false" outlineLevel="0" collapsed="false">
      <c r="B85" s="0" t="s">
        <v>715</v>
      </c>
      <c r="D85" s="55" t="n">
        <v>0.0156</v>
      </c>
      <c r="E85" s="55" t="n">
        <v>0</v>
      </c>
      <c r="F85" s="55" t="n">
        <v>-0.0156</v>
      </c>
      <c r="I85" s="2" t="s">
        <v>735</v>
      </c>
    </row>
    <row r="87" customFormat="false" ht="15" hidden="false" customHeight="false" outlineLevel="0" collapsed="false">
      <c r="B87" s="8" t="s">
        <v>716</v>
      </c>
      <c r="C87" s="9"/>
      <c r="D87" s="9" t="s">
        <v>246</v>
      </c>
      <c r="E87" s="9" t="s">
        <v>247</v>
      </c>
      <c r="F87" s="9" t="s">
        <v>248</v>
      </c>
      <c r="G87" s="9" t="s">
        <v>249</v>
      </c>
      <c r="H87" s="9" t="s">
        <v>250</v>
      </c>
      <c r="I87" s="8" t="s">
        <v>732</v>
      </c>
    </row>
    <row r="88" customFormat="false" ht="15" hidden="false" customHeight="false" outlineLevel="0" collapsed="false">
      <c r="B88" s="0" t="s">
        <v>717</v>
      </c>
      <c r="D88" s="12" t="n">
        <v>0.2146</v>
      </c>
      <c r="E88" s="12" t="n">
        <v>0.2001</v>
      </c>
      <c r="F88" s="12" t="n">
        <v>0.1857</v>
      </c>
      <c r="G88" s="12" t="n">
        <v>0.1713</v>
      </c>
      <c r="H88" s="12" t="n">
        <v>0.1569</v>
      </c>
      <c r="I88" s="2" t="s">
        <v>736</v>
      </c>
    </row>
    <row r="89" customFormat="false" ht="15" hidden="false" customHeight="false" outlineLevel="0" collapsed="false">
      <c r="B89" s="0" t="s">
        <v>718</v>
      </c>
      <c r="D89" s="56" t="n">
        <v>351.131</v>
      </c>
      <c r="E89" s="56" t="n">
        <v>351.131</v>
      </c>
      <c r="F89" s="56" t="n">
        <v>351.131</v>
      </c>
      <c r="G89" s="56" t="n">
        <v>351.131</v>
      </c>
      <c r="H89" s="56" t="n">
        <v>351.131</v>
      </c>
      <c r="I89" s="2" t="s">
        <v>737</v>
      </c>
    </row>
    <row r="90" customFormat="false" ht="15" hidden="false" customHeight="false" outlineLevel="0" collapsed="false">
      <c r="B90" s="0" t="s">
        <v>719</v>
      </c>
      <c r="D90" s="12" t="n">
        <v>0.1326</v>
      </c>
      <c r="E90" s="12" t="n">
        <v>0.1237</v>
      </c>
      <c r="F90" s="12" t="n">
        <v>0.1148</v>
      </c>
      <c r="G90" s="12" t="n">
        <v>0.1059</v>
      </c>
      <c r="H90" s="12" t="n">
        <v>0.097</v>
      </c>
      <c r="I90" s="2" t="s">
        <v>738</v>
      </c>
    </row>
    <row r="91" customFormat="false" ht="15" hidden="false" customHeight="false" outlineLevel="0" collapsed="false">
      <c r="B91" s="0" t="s">
        <v>720</v>
      </c>
      <c r="D91" s="12" t="n">
        <v>0.0983</v>
      </c>
      <c r="E91" s="12" t="n">
        <v>0.0983</v>
      </c>
      <c r="F91" s="12" t="n">
        <v>0.0983</v>
      </c>
      <c r="G91" s="12" t="n">
        <v>0.0983</v>
      </c>
      <c r="H91" s="12" t="n">
        <v>0.0983</v>
      </c>
      <c r="I91" s="2" t="s">
        <v>737</v>
      </c>
    </row>
    <row r="92" customFormat="false" ht="15" hidden="false" customHeight="false" outlineLevel="0" collapsed="false">
      <c r="B92" s="0" t="s">
        <v>219</v>
      </c>
      <c r="D92" s="57" t="n">
        <v>19.5303</v>
      </c>
      <c r="E92" s="57" t="n">
        <v>19.5303</v>
      </c>
      <c r="F92" s="57" t="n">
        <v>19.5303</v>
      </c>
      <c r="G92" s="57" t="n">
        <v>19.5303</v>
      </c>
      <c r="H92" s="57" t="n">
        <v>19.5303</v>
      </c>
      <c r="I92" s="2" t="s">
        <v>739</v>
      </c>
    </row>
    <row r="93" customFormat="false" ht="15" hidden="false" customHeight="false" outlineLevel="0" collapsed="false">
      <c r="B93" s="0" t="s">
        <v>221</v>
      </c>
      <c r="D93" s="57" t="n">
        <v>135.0709</v>
      </c>
      <c r="E93" s="57" t="n">
        <v>135.0709</v>
      </c>
      <c r="F93" s="57" t="n">
        <v>135.0709</v>
      </c>
      <c r="G93" s="57" t="n">
        <v>135.0709</v>
      </c>
      <c r="H93" s="57" t="n">
        <v>135.0709</v>
      </c>
      <c r="I93" s="2" t="s">
        <v>739</v>
      </c>
    </row>
    <row r="94" customFormat="false" ht="15" hidden="false" customHeight="false" outlineLevel="0" collapsed="false">
      <c r="B94" s="0" t="s">
        <v>223</v>
      </c>
      <c r="D94" s="57" t="n">
        <v>92.5353</v>
      </c>
      <c r="E94" s="57" t="n">
        <v>92.5353</v>
      </c>
      <c r="F94" s="57" t="n">
        <v>92.5353</v>
      </c>
      <c r="G94" s="57" t="n">
        <v>92.5353</v>
      </c>
      <c r="H94" s="57" t="n">
        <v>92.5353</v>
      </c>
      <c r="I94" s="2" t="s">
        <v>739</v>
      </c>
    </row>
    <row r="95" customFormat="false" ht="15" hidden="false" customHeight="false" outlineLevel="0" collapsed="false">
      <c r="B95" s="0" t="s">
        <v>721</v>
      </c>
      <c r="D95" s="56" t="n">
        <v>0</v>
      </c>
      <c r="E95" s="56" t="n">
        <v>0</v>
      </c>
      <c r="F95" s="56" t="n">
        <v>0</v>
      </c>
      <c r="G95" s="56" t="n">
        <v>0</v>
      </c>
      <c r="H95" s="56" t="n">
        <v>0</v>
      </c>
      <c r="I95" s="2" t="s">
        <v>740</v>
      </c>
    </row>
    <row r="97" customFormat="false" ht="15" hidden="false" customHeight="false" outlineLevel="0" collapsed="false">
      <c r="B97" s="8" t="s">
        <v>722</v>
      </c>
      <c r="C97" s="9"/>
      <c r="D97" s="9" t="s">
        <v>22</v>
      </c>
      <c r="E97" s="9"/>
      <c r="F97" s="9"/>
      <c r="G97" s="9"/>
      <c r="H97" s="9"/>
      <c r="I97" s="8" t="s">
        <v>732</v>
      </c>
    </row>
    <row r="98" customFormat="false" ht="15" hidden="false" customHeight="false" outlineLevel="0" collapsed="false">
      <c r="B98" s="0" t="s">
        <v>360</v>
      </c>
      <c r="D98" s="12" t="n">
        <v>0.34</v>
      </c>
      <c r="I98" s="2" t="s">
        <v>741</v>
      </c>
    </row>
    <row r="99" customFormat="false" ht="15" hidden="false" customHeight="false" outlineLevel="0" collapsed="false">
      <c r="B99" s="0" t="s">
        <v>358</v>
      </c>
      <c r="D99" s="12" t="n">
        <v>0.1291</v>
      </c>
      <c r="I99" s="2" t="s">
        <v>760</v>
      </c>
    </row>
    <row r="100" customFormat="false" ht="15" hidden="false" customHeight="false" outlineLevel="0" collapsed="false">
      <c r="B100" s="0" t="s">
        <v>491</v>
      </c>
      <c r="D100" s="12" t="n">
        <v>0.0772</v>
      </c>
      <c r="I100" s="2" t="s">
        <v>743</v>
      </c>
    </row>
    <row r="101" customFormat="false" ht="15" hidden="false" customHeight="false" outlineLevel="0" collapsed="false">
      <c r="B101" s="0" t="s">
        <v>723</v>
      </c>
      <c r="D101" s="12" t="n">
        <v>0.242</v>
      </c>
      <c r="I101" s="2" t="s">
        <v>744</v>
      </c>
    </row>
    <row r="102" customFormat="false" ht="15" hidden="false" customHeight="false" outlineLevel="0" collapsed="false">
      <c r="B102" s="0" t="s">
        <v>347</v>
      </c>
      <c r="D102" s="12" t="n">
        <v>0.1291</v>
      </c>
      <c r="I102" s="2" t="s">
        <v>745</v>
      </c>
    </row>
    <row r="103" customFormat="false" ht="15" hidden="false" customHeight="false" outlineLevel="0" collapsed="false">
      <c r="B103" s="0" t="s">
        <v>349</v>
      </c>
      <c r="D103" s="58" t="n">
        <v>1.483</v>
      </c>
      <c r="I103" s="2" t="s">
        <v>761</v>
      </c>
    </row>
    <row r="104" customFormat="false" ht="15" hidden="false" customHeight="false" outlineLevel="0" collapsed="false">
      <c r="B104" s="0" t="s">
        <v>351</v>
      </c>
      <c r="D104" s="12" t="n">
        <v>0.0423</v>
      </c>
      <c r="I104" s="2" t="s">
        <v>747</v>
      </c>
    </row>
    <row r="105" customFormat="false" ht="15" hidden="false" customHeight="false" outlineLevel="0" collapsed="false">
      <c r="B105" s="0" t="s">
        <v>724</v>
      </c>
      <c r="D105" s="12" t="n">
        <v>0</v>
      </c>
      <c r="I105" s="2" t="s">
        <v>748</v>
      </c>
    </row>
    <row r="106" customFormat="false" ht="15" hidden="false" customHeight="false" outlineLevel="0" collapsed="false">
      <c r="B106" s="0" t="s">
        <v>725</v>
      </c>
      <c r="D106" s="12" t="n">
        <v>0.8635</v>
      </c>
      <c r="I106" s="2" t="s">
        <v>749</v>
      </c>
    </row>
    <row r="107" customFormat="false" ht="15" hidden="false" customHeight="false" outlineLevel="0" collapsed="false">
      <c r="B107" s="0" t="s">
        <v>401</v>
      </c>
      <c r="D107" s="12" t="n">
        <v>0.035</v>
      </c>
      <c r="I107" s="2" t="s">
        <v>750</v>
      </c>
    </row>
    <row r="108" customFormat="false" ht="15" hidden="false" customHeight="false" outlineLevel="0" collapsed="false">
      <c r="B108" s="0" t="s">
        <v>726</v>
      </c>
      <c r="D108" s="59" t="n">
        <v>1</v>
      </c>
      <c r="I108" s="2" t="s">
        <v>751</v>
      </c>
    </row>
    <row r="109" customFormat="false" ht="15" hidden="false" customHeight="false" outlineLevel="0" collapsed="false">
      <c r="B109" s="0" t="s">
        <v>727</v>
      </c>
      <c r="D109" s="56" t="n">
        <v>0</v>
      </c>
      <c r="I109" s="2" t="s">
        <v>752</v>
      </c>
    </row>
    <row r="111" customFormat="false" ht="15" hidden="false" customHeight="false" outlineLevel="0" collapsed="false">
      <c r="B111" s="8" t="s">
        <v>728</v>
      </c>
      <c r="C111" s="9"/>
      <c r="D111" s="9" t="s">
        <v>22</v>
      </c>
      <c r="E111" s="9"/>
      <c r="F111" s="9"/>
      <c r="G111" s="9"/>
      <c r="H111" s="9"/>
      <c r="I111" s="8" t="s">
        <v>732</v>
      </c>
    </row>
    <row r="112" customFormat="false" ht="15" hidden="false" customHeight="false" outlineLevel="0" collapsed="false">
      <c r="B112" s="0" t="s">
        <v>729</v>
      </c>
      <c r="D112" s="60" t="n">
        <v>46203</v>
      </c>
      <c r="I112" s="2" t="s">
        <v>753</v>
      </c>
    </row>
    <row r="113" customFormat="false" ht="15" hidden="false" customHeight="false" outlineLevel="0" collapsed="false">
      <c r="B113" s="0" t="s">
        <v>422</v>
      </c>
      <c r="D113" s="61" t="n">
        <v>1326.0939</v>
      </c>
      <c r="I113" s="2" t="s">
        <v>754</v>
      </c>
    </row>
    <row r="114" customFormat="false" ht="15" hidden="false" customHeight="false" outlineLevel="0" collapsed="false">
      <c r="B114" s="0" t="s">
        <v>730</v>
      </c>
      <c r="D114" s="62" t="n">
        <v>6.36</v>
      </c>
      <c r="I114" s="2" t="s">
        <v>755</v>
      </c>
    </row>
    <row r="115" customFormat="false" ht="15" hidden="false" customHeight="false" outlineLevel="0" collapsed="false">
      <c r="B115" s="0" t="s">
        <v>378</v>
      </c>
      <c r="D115" s="56" t="n">
        <v>8433.9575</v>
      </c>
      <c r="I115" s="2" t="s">
        <v>756</v>
      </c>
    </row>
    <row r="116" customFormat="false" ht="15" hidden="false" customHeight="false" outlineLevel="0" collapsed="false">
      <c r="B116" s="0" t="s">
        <v>731</v>
      </c>
      <c r="D116" s="63" t="s">
        <v>757</v>
      </c>
      <c r="I116" s="2" t="s">
        <v>758</v>
      </c>
    </row>
    <row r="119" customFormat="false" ht="16.15" hidden="false" customHeight="false" outlineLevel="0" collapsed="false">
      <c r="B119" s="47" t="s">
        <v>10</v>
      </c>
    </row>
    <row r="120" customFormat="false" ht="15" hidden="false" customHeight="false" outlineLevel="0" collapsed="false">
      <c r="B120" s="8" t="s">
        <v>712</v>
      </c>
      <c r="C120" s="9" t="s">
        <v>713</v>
      </c>
      <c r="D120" s="9" t="s">
        <v>13</v>
      </c>
      <c r="E120" s="9" t="s">
        <v>8</v>
      </c>
      <c r="F120" s="9" t="s">
        <v>14</v>
      </c>
      <c r="G120" s="9"/>
      <c r="H120" s="9"/>
      <c r="I120" s="8" t="s">
        <v>732</v>
      </c>
    </row>
    <row r="121" customFormat="false" ht="15" hidden="false" customHeight="false" outlineLevel="0" collapsed="false">
      <c r="B121" s="0" t="s">
        <v>714</v>
      </c>
      <c r="C121" s="12" t="n">
        <v>-0.0045</v>
      </c>
      <c r="D121" s="12" t="n">
        <v>0</v>
      </c>
      <c r="E121" s="12" t="n">
        <v>0.0378</v>
      </c>
      <c r="F121" s="12" t="n">
        <v>0.061</v>
      </c>
      <c r="I121" s="2" t="s">
        <v>762</v>
      </c>
    </row>
    <row r="122" customFormat="false" ht="15" hidden="false" customHeight="false" outlineLevel="0" collapsed="false">
      <c r="B122" s="0" t="s">
        <v>18</v>
      </c>
      <c r="C122" s="12" t="n">
        <v>0.1538</v>
      </c>
      <c r="D122" s="12" t="n">
        <v>0.1613</v>
      </c>
      <c r="E122" s="12" t="n">
        <v>0.1971</v>
      </c>
      <c r="F122" s="12" t="n">
        <v>0.2506</v>
      </c>
      <c r="I122" s="2" t="s">
        <v>734</v>
      </c>
    </row>
    <row r="123" customFormat="false" ht="15" hidden="false" customHeight="false" outlineLevel="0" collapsed="false">
      <c r="B123" s="0" t="s">
        <v>715</v>
      </c>
      <c r="D123" s="55" t="n">
        <v>0.0156</v>
      </c>
      <c r="E123" s="55" t="n">
        <v>0</v>
      </c>
      <c r="F123" s="55" t="n">
        <v>-0.0156</v>
      </c>
      <c r="I123" s="2" t="s">
        <v>735</v>
      </c>
    </row>
    <row r="125" customFormat="false" ht="15" hidden="false" customHeight="false" outlineLevel="0" collapsed="false">
      <c r="B125" s="8" t="s">
        <v>716</v>
      </c>
      <c r="C125" s="9"/>
      <c r="D125" s="9" t="s">
        <v>246</v>
      </c>
      <c r="E125" s="9" t="s">
        <v>247</v>
      </c>
      <c r="F125" s="9" t="s">
        <v>248</v>
      </c>
      <c r="G125" s="9" t="s">
        <v>249</v>
      </c>
      <c r="H125" s="9" t="s">
        <v>250</v>
      </c>
      <c r="I125" s="8" t="s">
        <v>732</v>
      </c>
    </row>
    <row r="126" customFormat="false" ht="15" hidden="false" customHeight="false" outlineLevel="0" collapsed="false">
      <c r="B126" s="0" t="s">
        <v>717</v>
      </c>
      <c r="D126" s="12" t="n">
        <v>0.0332</v>
      </c>
      <c r="E126" s="12" t="n">
        <v>0.0315</v>
      </c>
      <c r="F126" s="12" t="n">
        <v>0.0297</v>
      </c>
      <c r="G126" s="12" t="n">
        <v>0.0279</v>
      </c>
      <c r="H126" s="12" t="n">
        <v>0.0261</v>
      </c>
      <c r="I126" s="2" t="s">
        <v>736</v>
      </c>
    </row>
    <row r="127" customFormat="false" ht="15" hidden="false" customHeight="false" outlineLevel="0" collapsed="false">
      <c r="B127" s="0" t="s">
        <v>718</v>
      </c>
      <c r="D127" s="56" t="n">
        <v>563.158</v>
      </c>
      <c r="E127" s="56" t="n">
        <v>563.158</v>
      </c>
      <c r="F127" s="56" t="n">
        <v>563.158</v>
      </c>
      <c r="G127" s="56" t="n">
        <v>563.158</v>
      </c>
      <c r="H127" s="56" t="n">
        <v>563.158</v>
      </c>
      <c r="I127" s="2" t="s">
        <v>737</v>
      </c>
    </row>
    <row r="128" customFormat="false" ht="15" hidden="false" customHeight="false" outlineLevel="0" collapsed="false">
      <c r="B128" s="0" t="s">
        <v>719</v>
      </c>
      <c r="D128" s="12" t="n">
        <v>0.0779</v>
      </c>
      <c r="E128" s="12" t="n">
        <v>0.0773</v>
      </c>
      <c r="F128" s="12" t="n">
        <v>0.0767</v>
      </c>
      <c r="G128" s="12" t="n">
        <v>0.0762</v>
      </c>
      <c r="H128" s="12" t="n">
        <v>0.0756</v>
      </c>
      <c r="I128" s="2" t="s">
        <v>738</v>
      </c>
    </row>
    <row r="129" customFormat="false" ht="15" hidden="false" customHeight="false" outlineLevel="0" collapsed="false">
      <c r="B129" s="0" t="s">
        <v>720</v>
      </c>
      <c r="D129" s="12" t="n">
        <v>0.0887</v>
      </c>
      <c r="E129" s="12" t="n">
        <v>0.0887</v>
      </c>
      <c r="F129" s="12" t="n">
        <v>0.0887</v>
      </c>
      <c r="G129" s="12" t="n">
        <v>0.0887</v>
      </c>
      <c r="H129" s="12" t="n">
        <v>0.0887</v>
      </c>
      <c r="I129" s="2" t="s">
        <v>737</v>
      </c>
    </row>
    <row r="130" customFormat="false" ht="15" hidden="false" customHeight="false" outlineLevel="0" collapsed="false">
      <c r="B130" s="0" t="s">
        <v>219</v>
      </c>
      <c r="D130" s="57" t="n">
        <v>25.1348</v>
      </c>
      <c r="E130" s="57" t="n">
        <v>25.1348</v>
      </c>
      <c r="F130" s="57" t="n">
        <v>25.1348</v>
      </c>
      <c r="G130" s="57" t="n">
        <v>25.1348</v>
      </c>
      <c r="H130" s="57" t="n">
        <v>25.1348</v>
      </c>
      <c r="I130" s="2" t="s">
        <v>739</v>
      </c>
    </row>
    <row r="131" customFormat="false" ht="15" hidden="false" customHeight="false" outlineLevel="0" collapsed="false">
      <c r="B131" s="0" t="s">
        <v>221</v>
      </c>
      <c r="D131" s="57" t="n">
        <v>92.3738</v>
      </c>
      <c r="E131" s="57" t="n">
        <v>92.3738</v>
      </c>
      <c r="F131" s="57" t="n">
        <v>92.3738</v>
      </c>
      <c r="G131" s="57" t="n">
        <v>92.3738</v>
      </c>
      <c r="H131" s="57" t="n">
        <v>92.3738</v>
      </c>
      <c r="I131" s="2" t="s">
        <v>739</v>
      </c>
    </row>
    <row r="132" customFormat="false" ht="15" hidden="false" customHeight="false" outlineLevel="0" collapsed="false">
      <c r="B132" s="0" t="s">
        <v>223</v>
      </c>
      <c r="D132" s="57" t="n">
        <v>31.414</v>
      </c>
      <c r="E132" s="57" t="n">
        <v>31.414</v>
      </c>
      <c r="F132" s="57" t="n">
        <v>31.414</v>
      </c>
      <c r="G132" s="57" t="n">
        <v>31.414</v>
      </c>
      <c r="H132" s="57" t="n">
        <v>31.414</v>
      </c>
      <c r="I132" s="2" t="s">
        <v>739</v>
      </c>
    </row>
    <row r="133" customFormat="false" ht="15" hidden="false" customHeight="false" outlineLevel="0" collapsed="false">
      <c r="B133" s="0" t="s">
        <v>721</v>
      </c>
      <c r="D133" s="56" t="n">
        <v>0</v>
      </c>
      <c r="E133" s="56" t="n">
        <v>0</v>
      </c>
      <c r="F133" s="56" t="n">
        <v>0</v>
      </c>
      <c r="G133" s="56" t="n">
        <v>0</v>
      </c>
      <c r="H133" s="56" t="n">
        <v>0</v>
      </c>
      <c r="I133" s="2" t="s">
        <v>740</v>
      </c>
    </row>
    <row r="135" customFormat="false" ht="15" hidden="false" customHeight="false" outlineLevel="0" collapsed="false">
      <c r="B135" s="8" t="s">
        <v>722</v>
      </c>
      <c r="C135" s="9"/>
      <c r="D135" s="9" t="s">
        <v>22</v>
      </c>
      <c r="E135" s="9"/>
      <c r="F135" s="9"/>
      <c r="G135" s="9"/>
      <c r="H135" s="9"/>
      <c r="I135" s="8" t="s">
        <v>732</v>
      </c>
    </row>
    <row r="136" customFormat="false" ht="15" hidden="false" customHeight="false" outlineLevel="0" collapsed="false">
      <c r="B136" s="0" t="s">
        <v>360</v>
      </c>
      <c r="D136" s="12" t="n">
        <v>0.34</v>
      </c>
      <c r="I136" s="2" t="s">
        <v>741</v>
      </c>
    </row>
    <row r="137" customFormat="false" ht="15" hidden="false" customHeight="false" outlineLevel="0" collapsed="false">
      <c r="B137" s="0" t="s">
        <v>358</v>
      </c>
      <c r="D137" s="12" t="n">
        <v>0.1291</v>
      </c>
      <c r="I137" s="2" t="s">
        <v>763</v>
      </c>
    </row>
    <row r="138" customFormat="false" ht="15" hidden="false" customHeight="false" outlineLevel="0" collapsed="false">
      <c r="B138" s="0" t="s">
        <v>491</v>
      </c>
      <c r="D138" s="12" t="n">
        <v>0.1235</v>
      </c>
      <c r="I138" s="2" t="s">
        <v>743</v>
      </c>
    </row>
    <row r="139" customFormat="false" ht="15" hidden="false" customHeight="false" outlineLevel="0" collapsed="false">
      <c r="B139" s="0" t="s">
        <v>723</v>
      </c>
      <c r="D139" s="12" t="n">
        <v>0.3602</v>
      </c>
      <c r="I139" s="2" t="s">
        <v>744</v>
      </c>
    </row>
    <row r="140" customFormat="false" ht="15" hidden="false" customHeight="false" outlineLevel="0" collapsed="false">
      <c r="B140" s="0" t="s">
        <v>347</v>
      </c>
      <c r="D140" s="12" t="n">
        <v>0.1291</v>
      </c>
      <c r="I140" s="2" t="s">
        <v>745</v>
      </c>
    </row>
    <row r="141" customFormat="false" ht="15" hidden="false" customHeight="false" outlineLevel="0" collapsed="false">
      <c r="B141" s="0" t="s">
        <v>349</v>
      </c>
      <c r="D141" s="58" t="n">
        <v>0.7921</v>
      </c>
      <c r="I141" s="2" t="s">
        <v>764</v>
      </c>
    </row>
    <row r="142" customFormat="false" ht="15" hidden="false" customHeight="false" outlineLevel="0" collapsed="false">
      <c r="B142" s="0" t="s">
        <v>351</v>
      </c>
      <c r="D142" s="12" t="n">
        <v>0.0423</v>
      </c>
      <c r="I142" s="2" t="s">
        <v>747</v>
      </c>
    </row>
    <row r="143" customFormat="false" ht="15" hidden="false" customHeight="false" outlineLevel="0" collapsed="false">
      <c r="B143" s="0" t="s">
        <v>724</v>
      </c>
      <c r="D143" s="12" t="n">
        <v>0</v>
      </c>
      <c r="I143" s="2" t="s">
        <v>748</v>
      </c>
    </row>
    <row r="144" customFormat="false" ht="15" hidden="false" customHeight="false" outlineLevel="0" collapsed="false">
      <c r="B144" s="0" t="s">
        <v>725</v>
      </c>
      <c r="D144" s="12" t="n">
        <v>0.2273</v>
      </c>
      <c r="I144" s="2" t="s">
        <v>749</v>
      </c>
    </row>
    <row r="145" customFormat="false" ht="15" hidden="false" customHeight="false" outlineLevel="0" collapsed="false">
      <c r="B145" s="0" t="s">
        <v>401</v>
      </c>
      <c r="D145" s="12" t="n">
        <v>0.035</v>
      </c>
      <c r="I145" s="2" t="s">
        <v>750</v>
      </c>
    </row>
    <row r="146" customFormat="false" ht="15" hidden="false" customHeight="false" outlineLevel="0" collapsed="false">
      <c r="B146" s="0" t="s">
        <v>726</v>
      </c>
      <c r="D146" s="59" t="n">
        <v>1</v>
      </c>
      <c r="I146" s="2" t="s">
        <v>751</v>
      </c>
    </row>
    <row r="147" customFormat="false" ht="15" hidden="false" customHeight="false" outlineLevel="0" collapsed="false">
      <c r="B147" s="0" t="s">
        <v>727</v>
      </c>
      <c r="D147" s="56" t="n">
        <v>0</v>
      </c>
      <c r="I147" s="2" t="s">
        <v>752</v>
      </c>
    </row>
    <row r="149" customFormat="false" ht="15" hidden="false" customHeight="false" outlineLevel="0" collapsed="false">
      <c r="B149" s="8" t="s">
        <v>728</v>
      </c>
      <c r="C149" s="9"/>
      <c r="D149" s="9" t="s">
        <v>22</v>
      </c>
      <c r="E149" s="9"/>
      <c r="F149" s="9"/>
      <c r="G149" s="9"/>
      <c r="H149" s="9"/>
      <c r="I149" s="8" t="s">
        <v>732</v>
      </c>
    </row>
    <row r="150" customFormat="false" ht="15" hidden="false" customHeight="false" outlineLevel="0" collapsed="false">
      <c r="B150" s="0" t="s">
        <v>729</v>
      </c>
      <c r="D150" s="60" t="n">
        <v>46203</v>
      </c>
      <c r="I150" s="2" t="s">
        <v>753</v>
      </c>
    </row>
    <row r="151" customFormat="false" ht="15" hidden="false" customHeight="false" outlineLevel="0" collapsed="false">
      <c r="B151" s="0" t="s">
        <v>422</v>
      </c>
      <c r="D151" s="61" t="n">
        <v>1963.1806</v>
      </c>
      <c r="I151" s="2" t="s">
        <v>754</v>
      </c>
    </row>
    <row r="152" customFormat="false" ht="15" hidden="false" customHeight="false" outlineLevel="0" collapsed="false">
      <c r="B152" s="0" t="s">
        <v>730</v>
      </c>
      <c r="D152" s="62" t="n">
        <v>24.77</v>
      </c>
      <c r="I152" s="2" t="s">
        <v>755</v>
      </c>
    </row>
    <row r="153" customFormat="false" ht="15" hidden="false" customHeight="false" outlineLevel="0" collapsed="false">
      <c r="B153" s="0" t="s">
        <v>378</v>
      </c>
      <c r="D153" s="56" t="n">
        <v>46089.0479</v>
      </c>
      <c r="I153" s="2" t="s">
        <v>756</v>
      </c>
    </row>
    <row r="154" customFormat="false" ht="15" hidden="false" customHeight="false" outlineLevel="0" collapsed="false">
      <c r="B154" s="0" t="s">
        <v>731</v>
      </c>
      <c r="D154" s="63" t="s">
        <v>757</v>
      </c>
      <c r="I154" s="2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765</v>
      </c>
    </row>
    <row r="2" customFormat="false" ht="15" hidden="false" customHeight="false" outlineLevel="0" collapsed="false">
      <c r="B2" s="2" t="s">
        <v>766</v>
      </c>
    </row>
    <row r="4" customFormat="false" ht="16.15" hidden="false" customHeight="false" outlineLevel="0" collapsed="false">
      <c r="B4" s="47" t="s">
        <v>5</v>
      </c>
    </row>
    <row r="5" customFormat="false" ht="15" hidden="false" customHeight="false" outlineLevel="0" collapsed="false">
      <c r="B5" s="13" t="s">
        <v>108</v>
      </c>
      <c r="C5" s="13" t="s">
        <v>109</v>
      </c>
      <c r="D5" s="13" t="s">
        <v>110</v>
      </c>
      <c r="E5" s="13" t="s">
        <v>111</v>
      </c>
      <c r="F5" s="13" t="s">
        <v>112</v>
      </c>
      <c r="G5" s="13" t="s">
        <v>113</v>
      </c>
      <c r="H5" s="13" t="s">
        <v>114</v>
      </c>
      <c r="I5" s="13" t="s">
        <v>115</v>
      </c>
      <c r="J5" s="13" t="s">
        <v>116</v>
      </c>
      <c r="K5" s="13" t="s">
        <v>117</v>
      </c>
    </row>
    <row r="6" customFormat="false" ht="15" hidden="false" customHeight="false" outlineLevel="0" collapsed="false">
      <c r="B6" s="0" t="s">
        <v>119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121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123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125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127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129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131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133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135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137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139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141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143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145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148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150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152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154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157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159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161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163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165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167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169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171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173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175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177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179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181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183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185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7" t="s">
        <v>9</v>
      </c>
    </row>
    <row r="41" customFormat="false" ht="15" hidden="false" customHeight="false" outlineLevel="0" collapsed="false">
      <c r="B41" s="13" t="s">
        <v>108</v>
      </c>
      <c r="C41" s="13" t="s">
        <v>109</v>
      </c>
      <c r="D41" s="13" t="s">
        <v>110</v>
      </c>
      <c r="E41" s="13" t="s">
        <v>111</v>
      </c>
      <c r="F41" s="13" t="s">
        <v>112</v>
      </c>
      <c r="G41" s="13" t="s">
        <v>113</v>
      </c>
      <c r="H41" s="13" t="s">
        <v>114</v>
      </c>
      <c r="I41" s="13" t="s">
        <v>115</v>
      </c>
      <c r="J41" s="13" t="s">
        <v>116</v>
      </c>
      <c r="K41" s="13" t="s">
        <v>117</v>
      </c>
    </row>
    <row r="42" customFormat="false" ht="15" hidden="false" customHeight="false" outlineLevel="0" collapsed="false">
      <c r="B42" s="0" t="s">
        <v>119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121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123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125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127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129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131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133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135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137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139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141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143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145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148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150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152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154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905.831</v>
      </c>
    </row>
    <row r="60" customFormat="false" ht="15" hidden="false" customHeight="false" outlineLevel="0" collapsed="false">
      <c r="B60" s="0" t="s">
        <v>157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159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161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163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165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167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169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171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173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175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177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179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181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183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185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7" t="s">
        <v>10</v>
      </c>
    </row>
    <row r="77" customFormat="false" ht="15" hidden="false" customHeight="false" outlineLevel="0" collapsed="false">
      <c r="B77" s="13" t="s">
        <v>108</v>
      </c>
      <c r="C77" s="13" t="s">
        <v>109</v>
      </c>
      <c r="D77" s="13" t="s">
        <v>110</v>
      </c>
      <c r="E77" s="13" t="s">
        <v>111</v>
      </c>
      <c r="F77" s="13" t="s">
        <v>112</v>
      </c>
      <c r="G77" s="13" t="s">
        <v>113</v>
      </c>
      <c r="H77" s="13" t="s">
        <v>114</v>
      </c>
      <c r="I77" s="13" t="s">
        <v>115</v>
      </c>
      <c r="J77" s="13" t="s">
        <v>116</v>
      </c>
      <c r="K77" s="13" t="s">
        <v>117</v>
      </c>
    </row>
    <row r="78" customFormat="false" ht="15" hidden="false" customHeight="false" outlineLevel="0" collapsed="false">
      <c r="B78" s="0" t="s">
        <v>119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121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123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125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127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129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131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133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135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137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139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141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143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145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148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150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152</v>
      </c>
      <c r="C94" s="17" t="n">
        <v>1194.934</v>
      </c>
      <c r="D94" s="17" t="n">
        <v>1746.6</v>
      </c>
      <c r="E94" s="17" t="n">
        <v>1650.778</v>
      </c>
      <c r="F94" s="17" t="n">
        <v>3026.023</v>
      </c>
      <c r="G94" s="17" t="n">
        <v>4291.873</v>
      </c>
      <c r="H94" s="17" t="n">
        <v>5209.128</v>
      </c>
      <c r="I94" s="17" t="n">
        <v>5778.381</v>
      </c>
      <c r="J94" s="17" t="n">
        <v>6681.62</v>
      </c>
      <c r="K94" s="17" t="n">
        <v>5415.708</v>
      </c>
    </row>
    <row r="95" customFormat="false" ht="15" hidden="false" customHeight="false" outlineLevel="0" collapsed="false">
      <c r="B95" s="0" t="s">
        <v>154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157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159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161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163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165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167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169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171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173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175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177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179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181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183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185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2026-10-09T18:21:25Z</dcterms:created>
  <dc:creator>openpyxl</dc:creator>
  <dc:description/>
  <dc:language>en-US</dc:language>
  <cp:lastModifiedBy/>
  <dcterms:modified xsi:type="dcterms:W3CDTF">2026-10-09T18:21:26Z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