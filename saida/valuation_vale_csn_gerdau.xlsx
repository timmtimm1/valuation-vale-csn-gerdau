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inel" sheetId="1" state="visible" r:id="rId3"/>
    <sheet name="Passo a passo" sheetId="2" state="visible" r:id="rId4"/>
    <sheet name="Demonstrativos" sheetId="3" state="visible" r:id="rId5"/>
    <sheet name="Projeção" sheetId="4" state="visible" r:id="rId6"/>
    <sheet name="FCFF" sheetId="5" state="visible" r:id="rId7"/>
    <sheet name="WACC" sheetId="6" state="visible" r:id="rId8"/>
    <sheet name="Valor justo" sheetId="7" state="visible" r:id="rId9"/>
    <sheet name="Múltiplos" sheetId="8" state="visible" r:id="rId10"/>
    <sheet name="Cenários" sheetId="9" state="visible" r:id="rId11"/>
    <sheet name="Correlação" sheetId="10" state="visible" r:id="rId12"/>
    <sheet name="Glossário" sheetId="11" state="visible" r:id="rId13"/>
    <sheet name="Premissas" sheetId="12" state="visible" r:id="rId14"/>
    <sheet name="Dado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<sst xmlns="http://schemas.openxmlformats.org/spreadsheetml/2006/main" count="1342" uniqueCount="772">
  <si>
    <t xml:space="preserve">Valuation de Vale, CSN e Gerdau</t>
  </si>
  <si>
    <t xml:space="preserve">Escolha a empresa e o cenário nas células amarelas. Todas as abas recalculam.</t>
  </si>
  <si>
    <t xml:space="preserve">Estudo acadêmico e de portfólio, com dados públicos da CVM e da B3. Não é recomendação de compra ou venda. As premissas são uma proposta por regra, ainda não revisada.</t>
  </si>
  <si>
    <t xml:space="preserve">Listas (não apagar)</t>
  </si>
  <si>
    <t xml:space="preserve">Empresa</t>
  </si>
  <si>
    <t xml:space="preserve">Vale (VALE3)</t>
  </si>
  <si>
    <t xml:space="preserve">← clique na célula e escolha na lista</t>
  </si>
  <si>
    <t xml:space="preserve">Cenário</t>
  </si>
  <si>
    <t xml:space="preserve">Moderado</t>
  </si>
  <si>
    <t xml:space="preserve">CSN (CSNA3)</t>
  </si>
  <si>
    <t xml:space="preserve">Gerdau (GGBR4)</t>
  </si>
  <si>
    <t xml:space="preserve">As três variáveis do cenário</t>
  </si>
  <si>
    <t xml:space="preserve">Em uso</t>
  </si>
  <si>
    <t xml:space="preserve">Pessimista</t>
  </si>
  <si>
    <t xml:space="preserve">Otimista</t>
  </si>
  <si>
    <t xml:space="preserve">Ajuste manual</t>
  </si>
  <si>
    <t xml:space="preserve">Partida</t>
  </si>
  <si>
    <t xml:space="preserve">Crescimento da receita, ao ano</t>
  </si>
  <si>
    <t xml:space="preserve">Margem EBITDA em 2030</t>
  </si>
  <si>
    <t xml:space="preserve">WACC (taxa de desconto)</t>
  </si>
  <si>
    <t xml:space="preserve">Ajuste manual: digite um valor entre o pessimista e o otimista (ex.: 5%) para testar um meio-termo; deixe vazio para usar o cenário. Partida é o nível de hoje.</t>
  </si>
  <si>
    <t xml:space="preserve">Resultado</t>
  </si>
  <si>
    <t xml:space="preserve">Valor</t>
  </si>
  <si>
    <t xml:space="preserve">O que é</t>
  </si>
  <si>
    <t xml:space="preserve">Preço justo por ação</t>
  </si>
  <si>
    <t xml:space="preserve">Quanto vale cada ação segundo o modelo, no cenário em uso.</t>
  </si>
  <si>
    <t xml:space="preserve">Preço de mercado</t>
  </si>
  <si>
    <t xml:space="preserve">Último fechamento na B3.</t>
  </si>
  <si>
    <t xml:space="preserve">Diferença para o mercado</t>
  </si>
  <si>
    <t xml:space="preserve">Preço justo ÷ preço de mercado − 1.</t>
  </si>
  <si>
    <t xml:space="preserve">Valor da empresa (EV)</t>
  </si>
  <si>
    <t xml:space="preserve">Valor da operação inteira, em R$ milhões.</t>
  </si>
  <si>
    <t xml:space="preserve">Valor do acionista</t>
  </si>
  <si>
    <t xml:space="preserve">EV menos dívida líquida e minoritários, mais investimentos.</t>
  </si>
  <si>
    <t xml:space="preserve">Peso do valor terminal</t>
  </si>
  <si>
    <t xml:space="preserve">Quanto do valor vem de depois de 2030.</t>
  </si>
  <si>
    <t xml:space="preserve">Preço pelo fluxo do acionista (FCFE)</t>
  </si>
  <si>
    <t xml:space="preserve">Conferência por outro caminho: deve ficar perto do preço justo.</t>
  </si>
  <si>
    <t xml:space="preserve">O caminho do cálculo, começando pelo FCFF</t>
  </si>
  <si>
    <t xml:space="preserve">Onde ver</t>
  </si>
  <si>
    <t xml:space="preserve">1. FCFF de 2027E: o caixa livre da empresa</t>
  </si>
  <si>
    <t xml:space="preserve">Aba FCFF</t>
  </si>
  <si>
    <t xml:space="preserve">2. WACC: a taxa que traz o futuro a valor de hoje</t>
  </si>
  <si>
    <t xml:space="preserve">Aba WACC</t>
  </si>
  <si>
    <t xml:space="preserve">3. Fluxos de 2026 a 2030, a valor de hoje</t>
  </si>
  <si>
    <t xml:space="preserve">Aba Valor justo</t>
  </si>
  <si>
    <t xml:space="preserve">4. Tudo o que vem depois de 2030, a valor de hoje</t>
  </si>
  <si>
    <t xml:space="preserve">5. Valor da empresa (3 + 4)</t>
  </si>
  <si>
    <t xml:space="preserve">6. Valor do acionista (5 − dívida líquida − minoritários + investimentos)</t>
  </si>
  <si>
    <t xml:space="preserve">7. Preço justo (6 ÷ número de ações)</t>
  </si>
  <si>
    <t xml:space="preserve">A aba Passo a passo explica cada etapa</t>
  </si>
  <si>
    <t xml:space="preserve">O valuation pelo fluxo de caixa da empresa, em sete passos. Os números são os da empresa e do cenário escolhidos no Painel e mudam junto com eles.</t>
  </si>
  <si>
    <t xml:space="preserve">1. Quanto caixa a empresa gera: o FCFF</t>
  </si>
  <si>
    <t xml:space="preserve">Tudo começa pelo caixa livre da empresa. Pega-se o lucro da operação depois do imposto (NOPAT), soma-se a depreciação, que é custo mas não sai do caixa, e tira-se o que foi investido em ativos (capex) e em capital de giro.</t>
  </si>
  <si>
    <t xml:space="preserve">NOPAT de 2027E (lucro da operação depois do imposto)</t>
  </si>
  <si>
    <t xml:space="preserve">+ Depreciação</t>
  </si>
  <si>
    <t xml:space="preserve">não saiu do caixa</t>
  </si>
  <si>
    <t xml:space="preserve">− Capex</t>
  </si>
  <si>
    <t xml:space="preserve">investimento em ativos</t>
  </si>
  <si>
    <t xml:space="preserve">− Variação do capital de giro</t>
  </si>
  <si>
    <t xml:space="preserve">dinheiro a mais preso na operação</t>
  </si>
  <si>
    <t xml:space="preserve">(=) FCFF de 2027E</t>
  </si>
  <si>
    <t xml:space="preserve">a aba FCFF repete a conta para cada ano</t>
  </si>
  <si>
    <t xml:space="preserve">2. Quanto custa o dinheiro: o WACC</t>
  </si>
  <si>
    <t xml:space="preserve">Um real daqui a cinco anos vale menos que um real hoje. A taxa que faz essa conta é o WACC: a média entre o retorno que o acionista exige (Ke, pelo CAPM) e o juro da dívida depois do imposto.</t>
  </si>
  <si>
    <t xml:space="preserve">Juro sem risco</t>
  </si>
  <si>
    <t xml:space="preserve">+ Beta × prêmio de risco de mercado</t>
  </si>
  <si>
    <t xml:space="preserve">(=) Ke, o retorno que o acionista exige</t>
  </si>
  <si>
    <t xml:space="preserve">Custo da dívida depois do imposto</t>
  </si>
  <si>
    <t xml:space="preserve">Peso da dívida</t>
  </si>
  <si>
    <t xml:space="preserve">WACC pelo CAPM (média de Ke e do custo da dívida)</t>
  </si>
  <si>
    <t xml:space="preserve">(=) WACC em uso (o do cenário ou do ajuste manual)</t>
  </si>
  <si>
    <t xml:space="preserve">é a taxa de desconto</t>
  </si>
  <si>
    <t xml:space="preserve">3. Trazer cada fluxo a valor de hoje</t>
  </si>
  <si>
    <t xml:space="preserve">Cada FCFF projetado é dividido por (1 + WACC) elevado ao número de anos até ele chegar. De 2026 só entra a parte do ano que ainda não aconteceu.</t>
  </si>
  <si>
    <t xml:space="preserve">FCFF de 2027E</t>
  </si>
  <si>
    <t xml:space="preserve">× Fator de desconto</t>
  </si>
  <si>
    <t xml:space="preserve">1 ÷ (1 + WACC) elevado aos anos até lá</t>
  </si>
  <si>
    <t xml:space="preserve">(=) Valor presente do FCFF de 2027E</t>
  </si>
  <si>
    <t xml:space="preserve">(=) Soma dos valores presentes de 2026 a 2030</t>
  </si>
  <si>
    <t xml:space="preserve">4. O que vem depois de 2030: a perpetuidade</t>
  </si>
  <si>
    <t xml:space="preserve">A empresa não acaba em 2030. Supõe-se que o caixa cresce para sempre a uma taxa g, igual à inflação. A fórmula de Gordon resume todos esses anos em um número, o valor terminal.</t>
  </si>
  <si>
    <t xml:space="preserve">FCFF de 2030 ajustado (só repõe o que desgasta)</t>
  </si>
  <si>
    <t xml:space="preserve">Crescimento para sempre (g)</t>
  </si>
  <si>
    <t xml:space="preserve">inflação de longo prazo</t>
  </si>
  <si>
    <t xml:space="preserve">Valor terminal: FCFF × (1 + g) ÷ (WACC − g)</t>
  </si>
  <si>
    <t xml:space="preserve">(=) Valor terminal a valor de hoje</t>
  </si>
  <si>
    <t xml:space="preserve">5. Valor da empresa (Enterprise Value)</t>
  </si>
  <si>
    <t xml:space="preserve">Somando os fluxos descontados e o valor terminal descontado chega-se ao valor da operação inteira, que pertence a credores e acionistas.</t>
  </si>
  <si>
    <t xml:space="preserve">Valor presente dos fluxos projetados</t>
  </si>
  <si>
    <t xml:space="preserve">+ Valor presente do valor terminal</t>
  </si>
  <si>
    <t xml:space="preserve">(=) Valor da empresa (EV)</t>
  </si>
  <si>
    <t xml:space="preserve">6. Do valor da empresa ao valor do acionista (Equity Value)</t>
  </si>
  <si>
    <t xml:space="preserve">Tira-se o que é dos credores (dívida líquida) e dos sócios das controladas (minoritários) e soma-se o que a empresa tem em participações.</t>
  </si>
  <si>
    <t xml:space="preserve">− Dívida líquida</t>
  </si>
  <si>
    <t xml:space="preserve">é dos credores</t>
  </si>
  <si>
    <t xml:space="preserve">− Minoritários</t>
  </si>
  <si>
    <t xml:space="preserve">é dos sócios das controladas</t>
  </si>
  <si>
    <t xml:space="preserve">+ Investimentos em coligadas</t>
  </si>
  <si>
    <t xml:space="preserve">o FCFF não contou</t>
  </si>
  <si>
    <t xml:space="preserve">(=) Valor do acionista (Equity Value)</t>
  </si>
  <si>
    <t xml:space="preserve">7. Preço justo por ação</t>
  </si>
  <si>
    <t xml:space="preserve">O valor do acionista dividido pelo número de ações dá o preço justo, que se compara com o preço na bolsa.</t>
  </si>
  <si>
    <t xml:space="preserve">÷ Ações em circulação (milhões)</t>
  </si>
  <si>
    <t xml:space="preserve">(=) Preço justo por ação</t>
  </si>
  <si>
    <t xml:space="preserve">Diferença</t>
  </si>
  <si>
    <t xml:space="preserve">preço justo ÷ preço de mercado − 1</t>
  </si>
  <si>
    <t xml:space="preserve">DRE, fluxo de caixa e balanço da empresa escolhida no Painel, e os indicadores que saem deles. LTM = últimos doze meses; o balanço dessa coluna é o do trimestre.</t>
  </si>
  <si>
    <t xml:space="preserve">R$ milhões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</si>
  <si>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</si>
  <si>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</si>
  <si>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</si>
  <si>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</si>
  <si>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</si>
  <si>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</si>
  <si>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</si>
  <si>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</si>
  <si>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LTM 2T26</t>
  </si>
  <si>
    <t xml:space="preserve">Demonstração do resultado</t>
  </si>
  <si>
    <t xml:space="preserve">Receita líquida</t>
  </si>
  <si>
    <t xml:space="preserve">Tudo o que a empresa vendeu no período, já sem impostos sobre a venda.</t>
  </si>
  <si>
    <t xml:space="preserve">Custo dos produtos vendidos</t>
  </si>
  <si>
    <t xml:space="preserve">O que custou produzir o que foi vendido, incluindo a depreciação das fábricas e minas.</t>
  </si>
  <si>
    <t xml:space="preserve">Lucro bruto</t>
  </si>
  <si>
    <t xml:space="preserve">Receita menos custo dos produtos. O que sobra antes das despesas da empresa.</t>
  </si>
  <si>
    <t xml:space="preserve">Despesas com vendas</t>
  </si>
  <si>
    <t xml:space="preserve">Gastos para vender e entregar: frete, comissões, equipe comercial.</t>
  </si>
  <si>
    <t xml:space="preserve">Despesas gerais e administrativas</t>
  </si>
  <si>
    <t xml:space="preserve">Gastos da administração: salários do escritório, sistemas, serviços.</t>
  </si>
  <si>
    <t xml:space="preserve">Perdas por recuperabilidade de ativos (impairment)</t>
  </si>
  <si>
    <t xml:space="preserve">Baixa contábil de um ativo que passou a valer menos (impairment). Não sai do caixa.</t>
  </si>
  <si>
    <t xml:space="preserve">Total de despesas/receitas operacionais</t>
  </si>
  <si>
    <t xml:space="preserve">Soma de todas as despesas e receitas operacionais abaixo do lucro bruto.</t>
  </si>
  <si>
    <t xml:space="preserve">Equivalência patrimonial</t>
  </si>
  <si>
    <t xml:space="preserve">Parte do lucro de empresas das quais ela é sócia sem controlar. Não entra no caixa.</t>
  </si>
  <si>
    <t xml:space="preserve">EBIT (resultado antes do financeiro e dos tributos)</t>
  </si>
  <si>
    <t xml:space="preserve">Lucro da operação, antes de juros e imposto de renda. Lucro bruto menos despesas.</t>
  </si>
  <si>
    <t xml:space="preserve">Resultado financeiro</t>
  </si>
  <si>
    <t xml:space="preserve">Juros recebidos menos juros pagos, mais variação cambial e derivativos.</t>
  </si>
  <si>
    <t xml:space="preserve">Lucro antes dos tributos</t>
  </si>
  <si>
    <t xml:space="preserve">Lucro antes do imposto de renda: EBIT mais o resultado financeiro.</t>
  </si>
  <si>
    <t xml:space="preserve">Imposto de renda e CSLL</t>
  </si>
  <si>
    <t xml:space="preserve">Imposto de renda e contribuição social sobre o lucro.</t>
  </si>
  <si>
    <t xml:space="preserve">Lucro líquido consolidado</t>
  </si>
  <si>
    <t xml:space="preserve">O que sobra para os sócios depois de tudo: custos, despesas, juros e impostos.</t>
  </si>
  <si>
    <t xml:space="preserve">Lucro atribuído aos controladores</t>
  </si>
  <si>
    <t xml:space="preserve">A parte do lucro que pertence aos acionistas da empresa, sem os sócios de controladas.</t>
  </si>
  <si>
    <t xml:space="preserve">Fluxo de caixa</t>
  </si>
  <si>
    <t xml:space="preserve">Depreciação, amortização e exaustão</t>
  </si>
  <si>
    <t xml:space="preserve">Desgaste contábil de máquinas, minas e prédios no período. É custo, mas não sai do caixa.</t>
  </si>
  <si>
    <t xml:space="preserve">Caixa das atividades operacionais</t>
  </si>
  <si>
    <t xml:space="preserve">Dinheiro que a operação gerou de verdade no período, depois de impostos e capital de giro.</t>
  </si>
  <si>
    <t xml:space="preserve">Investimento em imobilizado e intangível (capex)</t>
  </si>
  <si>
    <t xml:space="preserve">Dinheiro investido em máquinas, minas, fábricas e sistemas.</t>
  </si>
  <si>
    <t xml:space="preserve">Dividendos e JCP pagos</t>
  </si>
  <si>
    <t xml:space="preserve">Dinheiro entregue aos acionistas como dividendos e juros sobre capital próprio.</t>
  </si>
  <si>
    <t xml:space="preserve">Balanço patrimonial</t>
  </si>
  <si>
    <t xml:space="preserve">Caixa e equivalentes</t>
  </si>
  <si>
    <t xml:space="preserve">Dinheiro em conta e aplicações de resgate imediato.</t>
  </si>
  <si>
    <t xml:space="preserve">Aplicações financeiras</t>
  </si>
  <si>
    <t xml:space="preserve">Aplicações financeiras de curto prazo.</t>
  </si>
  <si>
    <t xml:space="preserve">Contas a receber</t>
  </si>
  <si>
    <t xml:space="preserve">Vendas já feitas que os clientes ainda não pagaram.</t>
  </si>
  <si>
    <t xml:space="preserve">Estoques</t>
  </si>
  <si>
    <t xml:space="preserve">Matéria-prima e produto pronto que ainda não foi vendido.</t>
  </si>
  <si>
    <t xml:space="preserve">Ativo circulante</t>
  </si>
  <si>
    <t xml:space="preserve">Tudo o que vira dinheiro em até um ano.</t>
  </si>
  <si>
    <t xml:space="preserve">Investimentos em coligadas</t>
  </si>
  <si>
    <t xml:space="preserve">Participação em outras empresas, pelo valor registrado no balanço.</t>
  </si>
  <si>
    <t xml:space="preserve">Imobilizado</t>
  </si>
  <si>
    <t xml:space="preserve">Máquinas, minas, fábricas e terrenos, já descontada a depreciação.</t>
  </si>
  <si>
    <t xml:space="preserve">Intangível</t>
  </si>
  <si>
    <t xml:space="preserve">Direitos, licenças, softwares e ágio de aquisições.</t>
  </si>
  <si>
    <t xml:space="preserve">Ativo total</t>
  </si>
  <si>
    <t xml:space="preserve">Tudo o que a empresa tem.</t>
  </si>
  <si>
    <t xml:space="preserve">Fornecedores</t>
  </si>
  <si>
    <t xml:space="preserve">Compras já recebidas que a empresa ainda não pagou.</t>
  </si>
  <si>
    <t xml:space="preserve">Empréstimos e financiamentos - curto prazo</t>
  </si>
  <si>
    <t xml:space="preserve">Empréstimos e financiamentos que vencem em até um ano.</t>
  </si>
  <si>
    <t xml:space="preserve">Passivo circulante</t>
  </si>
  <si>
    <t xml:space="preserve">Tudo o que a empresa tem de pagar em até um ano.</t>
  </si>
  <si>
    <t xml:space="preserve">Empréstimos e financiamentos - longo prazo</t>
  </si>
  <si>
    <t xml:space="preserve">Empréstimos e financiamentos que vencem depois de um ano.</t>
  </si>
  <si>
    <t xml:space="preserve">Patrimônio líquido consolidado</t>
  </si>
  <si>
    <t xml:space="preserve">O que é dos sócios: ativo total menos todas as dívidas e obrigações.</t>
  </si>
  <si>
    <t xml:space="preserve">Participação de não controladores</t>
  </si>
  <si>
    <t xml:space="preserve">A parte do patrimônio que pertence a sócios de empresas controladas.</t>
  </si>
  <si>
    <t xml:space="preserve">Indicadores (fórmulas)</t>
  </si>
  <si>
    <t xml:space="preserve">O que é e como se calcula</t>
  </si>
  <si>
    <t xml:space="preserve">EBITDA (EBIT + depreciação)</t>
  </si>
  <si>
    <t xml:space="preserve">EBIT + depreciação. Aproxima o caixa que a operação gera antes de investir e pagar juros.</t>
  </si>
  <si>
    <t xml:space="preserve">EBITDA sem perdas por recuperabilidade</t>
  </si>
  <si>
    <t xml:space="preserve">EBITDA sem as perdas por recuperabilidade, que não se repetem. É a base da projeção.</t>
  </si>
  <si>
    <t xml:space="preserve">Custo caixa (custo sem depreciação)</t>
  </si>
  <si>
    <t xml:space="preserve">Custo dos produtos sem a depreciação: o custo que de fato sai do caixa.</t>
  </si>
  <si>
    <t xml:space="preserve">Outras receitas/despesas operacionais</t>
  </si>
  <si>
    <t xml:space="preserve">Despesas operacionais que não são vendas nem administrativas: provisões, baixas, ganhos avulsos.</t>
  </si>
  <si>
    <t xml:space="preserve">NOPAT (lucro operacional após imposto de 34%)</t>
  </si>
  <si>
    <t xml:space="preserve">Lucro da operação depois do imposto, como se a empresa não tivesse dívida. (EBIT − equivalência) × (1 − 34%).</t>
  </si>
  <si>
    <t xml:space="preserve">Crescimento da receita</t>
  </si>
  <si>
    <t xml:space="preserve">Receita do período dividida pela do período anterior, menos 1.</t>
  </si>
  <si>
    <t xml:space="preserve">Margem bruta</t>
  </si>
  <si>
    <t xml:space="preserve">Lucro bruto dividido pela receita: quanto sobra de cada real vendido depois do custo.</t>
  </si>
  <si>
    <t xml:space="preserve">Margem EBITDA</t>
  </si>
  <si>
    <t xml:space="preserve">EBITDA dividido pela receita: quanto de cada real vendido vira caixa operacional.</t>
  </si>
  <si>
    <t xml:space="preserve">Margem EBITDA sem perdas por recuperabilidade</t>
  </si>
  <si>
    <t xml:space="preserve">EBITDA sem perdas por recuperabilidade dividido pela receita.</t>
  </si>
  <si>
    <t xml:space="preserve">Margem EBIT</t>
  </si>
  <si>
    <t xml:space="preserve">EBIT dividido pela receita.</t>
  </si>
  <si>
    <t xml:space="preserve">Margem líquida</t>
  </si>
  <si>
    <t xml:space="preserve">Lucro líquido dividido pela receita: quanto de cada real vendido sobra para o sócio.</t>
  </si>
  <si>
    <t xml:space="preserve">Capex / receita</t>
  </si>
  <si>
    <t xml:space="preserve">Capex dividido pela receita: quanto da venda é reinvestido.</t>
  </si>
  <si>
    <t xml:space="preserve">Ativo fixo (imobilizado + intangível)</t>
  </si>
  <si>
    <t xml:space="preserve">Imobilizado + intangível: os bens que a empresa usa para produzir.</t>
  </si>
  <si>
    <t xml:space="preserve">Depreciação / ativo fixo do ano anterior</t>
  </si>
  <si>
    <t xml:space="preserve">Depreciação do ano dividida pelo ativo fixo do ano anterior: a velocidade do desgaste.</t>
  </si>
  <si>
    <t xml:space="preserve">Alíquota efetiva de imposto</t>
  </si>
  <si>
    <t xml:space="preserve">Imposto de renda dividido pelo lucro antes do imposto: o que a empresa pagou de fato.</t>
  </si>
  <si>
    <t xml:space="preserve">Prazo médio de recebimento (dias)</t>
  </si>
  <si>
    <t xml:space="preserve">Contas a receber ÷ receita × 365: quantos dias o cliente demora para pagar.</t>
  </si>
  <si>
    <t xml:space="preserve">Prazo médio de estoque (dias)</t>
  </si>
  <si>
    <t xml:space="preserve">Estoques ÷ custo caixa × 365: quantos dias o produto fica parado.</t>
  </si>
  <si>
    <t xml:space="preserve">Prazo médio de pagamento (dias)</t>
  </si>
  <si>
    <t xml:space="preserve">Fornecedores ÷ custo caixa × 365: quantos dias a empresa demora para pagar.</t>
  </si>
  <si>
    <t xml:space="preserve">Ciclo de caixa (dias)</t>
  </si>
  <si>
    <t xml:space="preserve">Prazo de recebimento + prazo de estoque − prazo de pagamento: dias que a empresa financia do próprio bolso.</t>
  </si>
  <si>
    <t xml:space="preserve">Capital de giro (receber + estoques - fornecedores)</t>
  </si>
  <si>
    <t xml:space="preserve">Contas a receber + estoques − fornecedores: dinheiro preso no dia a dia da operação.</t>
  </si>
  <si>
    <t xml:space="preserve">Caixa e aplicações</t>
  </si>
  <si>
    <t xml:space="preserve">Caixa + aplicações financeiras.</t>
  </si>
  <si>
    <t xml:space="preserve">Dívida bruta</t>
  </si>
  <si>
    <t xml:space="preserve">Empréstimos de curto prazo + empréstimos de longo prazo.</t>
  </si>
  <si>
    <t xml:space="preserve">Dívida líquida</t>
  </si>
  <si>
    <t xml:space="preserve">Dívida bruta − caixa: o que a empresa deve depois de usar todo o dinheiro que tem.</t>
  </si>
  <si>
    <t xml:space="preserve">Dívida líquida / EBITDA</t>
  </si>
  <si>
    <t xml:space="preserve">Dívida líquida ÷ EBITDA: quantos anos de geração de caixa pagam a dívida. Acima de 3x é alto.</t>
  </si>
  <si>
    <t xml:space="preserve">Liquidez corrente</t>
  </si>
  <si>
    <t xml:space="preserve">Ativo circulante ÷ passivo circulante: acima de 1, o curto prazo está coberto.</t>
  </si>
  <si>
    <t xml:space="preserve">ROE (lucro dos controladores / patrimônio dos controladores)</t>
  </si>
  <si>
    <t xml:space="preserve">Lucro dos controladores ÷ patrimônio dos controladores: o retorno do dinheiro do sócio.</t>
  </si>
  <si>
    <t xml:space="preserve">ROIC (NOPAT / capital de giro + ativo fixo)</t>
  </si>
  <si>
    <t xml:space="preserve">NOPAT ÷ (capital de giro + ativo fixo): o retorno de todo o capital posto na operação.</t>
  </si>
  <si>
    <t xml:space="preserve">Caixa operacional menos capex</t>
  </si>
  <si>
    <t xml:space="preserve">Caixa das operações − capex: o que sobra depois de investir.</t>
  </si>
  <si>
    <t xml:space="preserve">DRE, investimento, capital de giro e balanço, ligados entre si. Custos e despesas em valor positivo. 2025 é o realizado; os outros anos são fórmulas.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</si>
  <si>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</si>
  <si>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</si>
  <si>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</si>
  <si>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</si>
  <si>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</si>
  <si>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Como se calcula</t>
  </si>
  <si>
    <t xml:space="preserve">Do cenário para cada ano (vem do Painel)</t>
  </si>
  <si>
    <t xml:space="preserve">2026 repete os últimos doze meses. De 2027 em diante vale o crescimento escolhido no Painel.</t>
  </si>
  <si>
    <t xml:space="preserve">Sai da margem dos últimos doze meses em 2026 e chega, em linha reta, à margem escolhida no Painel em 2030.</t>
  </si>
  <si>
    <t xml:space="preserve">Receita do ano anterior × (1 + crescimento).</t>
  </si>
  <si>
    <t xml:space="preserve">(-) Custo dos produtos (sem depreciação)</t>
  </si>
  <si>
    <t xml:space="preserve">O que sobra para a margem fechar: receita − despesas + equivalência − EBITDA.</t>
  </si>
  <si>
    <t xml:space="preserve">(-) Despesas operacionais (vendas, administrativas e outras)</t>
  </si>
  <si>
    <t xml:space="preserve">Receita × percentual de despesas operacionais (aba Premissas).</t>
  </si>
  <si>
    <t xml:space="preserve">(+/-) Equivalência patrimonial</t>
  </si>
  <si>
    <t xml:space="preserve">Valor fixo da aba Premissas.</t>
  </si>
  <si>
    <t xml:space="preserve">EBITDA</t>
  </si>
  <si>
    <t xml:space="preserve">Receita × margem EBITDA do cenário.</t>
  </si>
  <si>
    <t xml:space="preserve">(-) Depreciação e amortização</t>
  </si>
  <si>
    <t xml:space="preserve">Ativo fixo do início do ano × taxa de depreciação (aba Premissas).</t>
  </si>
  <si>
    <t xml:space="preserve">EBIT</t>
  </si>
  <si>
    <t xml:space="preserve">EBITDA − depreciação.</t>
  </si>
  <si>
    <t xml:space="preserve">(+) Rendimento do caixa</t>
  </si>
  <si>
    <t xml:space="preserve">Caixa do início do ano × rendimento do caixa.</t>
  </si>
  <si>
    <t xml:space="preserve">(-) Juros da dívida</t>
  </si>
  <si>
    <t xml:space="preserve">Dívida do início do ano × juros pagos sobre a dívida (aba Premissas).</t>
  </si>
  <si>
    <t xml:space="preserve">(+/-) Resultado financeiro</t>
  </si>
  <si>
    <t xml:space="preserve">Rendimento do caixa − juros da dívida.</t>
  </si>
  <si>
    <t xml:space="preserve">EBIT + resultado financeiro.</t>
  </si>
  <si>
    <t xml:space="preserve">(-) Imposto de renda e CSLL</t>
  </si>
  <si>
    <t xml:space="preserve">(Lucro antes do imposto − equivalência) × alíquota. Sem lucro, não há imposto.</t>
  </si>
  <si>
    <t xml:space="preserve">Lucro líquido</t>
  </si>
  <si>
    <t xml:space="preserve">Lucro antes do imposto − imposto.</t>
  </si>
  <si>
    <t xml:space="preserve">Investimento, depreciação e capital de giro</t>
  </si>
  <si>
    <t xml:space="preserve">Capex</t>
  </si>
  <si>
    <t xml:space="preserve">Receita × percentual de capex (aba Premissas).</t>
  </si>
  <si>
    <t xml:space="preserve">Ativo fixo anterior + capex − depreciação.</t>
  </si>
  <si>
    <t xml:space="preserve">Receita × prazo de recebimento ÷ 365.</t>
  </si>
  <si>
    <t xml:space="preserve">Custo dos produtos × prazo de estoque ÷ 365.</t>
  </si>
  <si>
    <t xml:space="preserve">Custo dos produtos × prazo de pagamento ÷ 365.</t>
  </si>
  <si>
    <t xml:space="preserve">Capital de giro</t>
  </si>
  <si>
    <t xml:space="preserve">Contas a receber + estoques − fornecedores.</t>
  </si>
  <si>
    <t xml:space="preserve">Variação do capital de giro (investimento em giro)</t>
  </si>
  <si>
    <t xml:space="preserve">Capital de giro do ano − o do ano anterior. Positivo consome caixa.</t>
  </si>
  <si>
    <t xml:space="preserve">Do lucro ao caixa</t>
  </si>
  <si>
    <t xml:space="preserve">(-) Dividendos</t>
  </si>
  <si>
    <t xml:space="preserve">Lucro líquido × percentual distribuído (aba Premissas). Sem lucro, não há dividendo.</t>
  </si>
  <si>
    <t xml:space="preserve">Variação do caixa (FCFE da aba FCFF menos dividendos)</t>
  </si>
  <si>
    <t xml:space="preserve">FCFE − dividendos: o que entra ou sai do caixa no ano.</t>
  </si>
  <si>
    <t xml:space="preserve">Balanço patrimonial resumido</t>
  </si>
  <si>
    <t xml:space="preserve">Caixa anterior + variação do caixa. É a conta que fecha o balanço.</t>
  </si>
  <si>
    <t xml:space="preserve">Saldo anterior + equivalência do ano.</t>
  </si>
  <si>
    <t xml:space="preserve">Outros ativos (mantidos)</t>
  </si>
  <si>
    <t xml:space="preserve">Tudo o que o modelo não projeta linha a linha; fica constante.</t>
  </si>
  <si>
    <t xml:space="preserve">Soma de todas as linhas do ativo.</t>
  </si>
  <si>
    <t xml:space="preserve">Dívida anterior + captação líquida (aba Premissas).</t>
  </si>
  <si>
    <t xml:space="preserve">Outros passivos (mantidos)</t>
  </si>
  <si>
    <t xml:space="preserve">Patrimônio líquido</t>
  </si>
  <si>
    <t xml:space="preserve">Patrimônio anterior + lucro líquido − dividendos.</t>
  </si>
  <si>
    <t xml:space="preserve">Passivo + patrimônio líquido</t>
  </si>
  <si>
    <t xml:space="preserve">Fornecedores + dívida + outros passivos + patrimônio líquido.</t>
  </si>
  <si>
    <t xml:space="preserve">Checagem: ativo - passivo (tem de ser zero)</t>
  </si>
  <si>
    <t xml:space="preserve">Ativo − (passivo + patrimônio). Se não der zero, há erro no modelo.</t>
  </si>
  <si>
    <t xml:space="preserve">Indicadores</t>
  </si>
  <si>
    <t xml:space="preserve">EBIT ÷ receita.</t>
  </si>
  <si>
    <t xml:space="preserve">Dívida bruta − caixa.</t>
  </si>
  <si>
    <t xml:space="preserve">Dívida líquida ÷ EBITDA.</t>
  </si>
  <si>
    <t xml:space="preserve">ROIC (NOPAT / capital investido inicial)</t>
  </si>
  <si>
    <t xml:space="preserve">NOPAT ÷ (capital de giro + ativo fixo do início do ano).</t>
  </si>
  <si>
    <t xml:space="preserve">O caixa livre de cada ano, que é o ponto de partida do valuation. FCFF é o caixa da empresa inteira; FCFE é a parte do acionista.</t>
  </si>
  <si>
    <t xml:space="preserve">FCFF: o caixa livre da empresa, para credores e acionistas</t>
  </si>
  <si>
    <t xml:space="preserve">Lucro da operação antes de juros e impostos (aba Projeção).</t>
  </si>
  <si>
    <t xml:space="preserve">(-) Equivalência patrimonial</t>
  </si>
  <si>
    <t xml:space="preserve">Sai da conta: é lucro de outras empresas, não entra no caixa desta.</t>
  </si>
  <si>
    <t xml:space="preserve">(-) Imposto sobre o lucro da operação</t>
  </si>
  <si>
    <t xml:space="preserve">(EBIT − equivalência) × alíquota: o imposto que a operação pagaria sem dívida.</t>
  </si>
  <si>
    <t xml:space="preserve">(=) NOPAT</t>
  </si>
  <si>
    <t xml:space="preserve">EBIT − equivalência − imposto: o lucro da operação depois do imposto.</t>
  </si>
  <si>
    <t xml:space="preserve">(+) Depreciação e amortização</t>
  </si>
  <si>
    <t xml:space="preserve">Volta para a conta: foi descontada no EBIT, mas não saiu do caixa.</t>
  </si>
  <si>
    <t xml:space="preserve">(-) Capex</t>
  </si>
  <si>
    <t xml:space="preserve">Sai da conta: dinheiro investido em ativos.</t>
  </si>
  <si>
    <t xml:space="preserve">(-) Variação do capital de giro</t>
  </si>
  <si>
    <t xml:space="preserve">Sai da conta: dinheiro a mais preso em clientes e estoques.</t>
  </si>
  <si>
    <t xml:space="preserve">(=) FCFF</t>
  </si>
  <si>
    <t xml:space="preserve">NOPAT + depreciação − capex − variação do giro. É o caixa livre para credores e acionistas.</t>
  </si>
  <si>
    <t xml:space="preserve">FCFE: o caixa livre só do acionista</t>
  </si>
  <si>
    <t xml:space="preserve">Lucro depois de juros e impostos (aba Projeção).</t>
  </si>
  <si>
    <t xml:space="preserve">(+) Captação líquida de dívida</t>
  </si>
  <si>
    <t xml:space="preserve">Dívida nova menos dívida paga no ano.</t>
  </si>
  <si>
    <t xml:space="preserve">(=) FCFE</t>
  </si>
  <si>
    <t xml:space="preserve">Lucro líquido − equivalência + depreciação − capex − variação do giro + captação. É o caixa livre só do acionista.</t>
  </si>
  <si>
    <t xml:space="preserve">Fluxo de 2030 ajustado para a perpetuidade</t>
  </si>
  <si>
    <t xml:space="preserve">Capex de reposição</t>
  </si>
  <si>
    <t xml:space="preserve">Depois de 2030 a empresa só repõe o que desgasta: depreciação × múltiplo da aba Premissas.</t>
  </si>
  <si>
    <t xml:space="preserve">FCFF normalizado de 2030</t>
  </si>
  <si>
    <t xml:space="preserve">FCFF de 2030 com o capex de reposição no lugar do capex do ano.</t>
  </si>
  <si>
    <t xml:space="preserve">FCFE normalizado de 2030</t>
  </si>
  <si>
    <t xml:space="preserve">FCFE de 2030 com o capex de reposição no lugar do capex do ano.</t>
  </si>
  <si>
    <t xml:space="preserve">CAPM para o capital próprio; WACC é a média com o custo da dívida depois do imposto.</t>
  </si>
  <si>
    <t xml:space="preserve">Capital próprio (CAPM)</t>
  </si>
  <si>
    <t xml:space="preserve">Juro sem risco (Rf)</t>
  </si>
  <si>
    <t xml:space="preserve">O juro de um investimento sem risco de calote: o título do Tesouro prefixado de dez anos.</t>
  </si>
  <si>
    <t xml:space="preserve">Beta</t>
  </si>
  <si>
    <t xml:space="preserve">Quanto a ação costuma andar quando a bolsa anda 1%. Acima de 1, oscila mais que o mercado.</t>
  </si>
  <si>
    <t xml:space="preserve">Prêmio de risco de mercado</t>
  </si>
  <si>
    <t xml:space="preserve">O retorno a mais que o investidor exige para estar em ações em vez de títulos do governo.</t>
  </si>
  <si>
    <t xml:space="preserve">Prêmio adicional</t>
  </si>
  <si>
    <t xml:space="preserve">Prêmio extra por risco próprio da empresa. Zero nesta versão.</t>
  </si>
  <si>
    <t xml:space="preserve">Custo do capital próprio (Ke)</t>
  </si>
  <si>
    <t xml:space="preserve">Ke = juro sem risco + beta × prêmio de mercado + prêmio adicional. É o retorno que o acionista exige.</t>
  </si>
  <si>
    <t xml:space="preserve">Dívida</t>
  </si>
  <si>
    <t xml:space="preserve">Custo da dívida antes do imposto (Kd)</t>
  </si>
  <si>
    <t xml:space="preserve">O que a dívida custa à empresa, em reais. Vem do custo que ela divulga (aba Premissas).</t>
  </si>
  <si>
    <t xml:space="preserve">Alíquota de IR e CSLL</t>
  </si>
  <si>
    <t xml:space="preserve">Alíquota de imposto sobre o lucro.</t>
  </si>
  <si>
    <t xml:space="preserve">Custo da dívida após o imposto</t>
  </si>
  <si>
    <t xml:space="preserve">Kd × (1 − alíquota). O juro reduz o imposto a pagar, então a dívida custa menos.</t>
  </si>
  <si>
    <t xml:space="preserve">Média ponderada</t>
  </si>
  <si>
    <t xml:space="preserve">Quanto do capital da empresa vem de dívida.</t>
  </si>
  <si>
    <t xml:space="preserve">Peso do capital próprio</t>
  </si>
  <si>
    <t xml:space="preserve">1 − peso da dívida: quanto do capital vem dos sócios.</t>
  </si>
  <si>
    <t xml:space="preserve">WACC pelo CAPM</t>
  </si>
  <si>
    <t xml:space="preserve">Ke × peso dos sócios + Kd após imposto × peso da dívida. É o custo médio do capital.</t>
  </si>
  <si>
    <t xml:space="preserve">Cenário (vem do Painel)</t>
  </si>
  <si>
    <t xml:space="preserve">WACC em uso</t>
  </si>
  <si>
    <t xml:space="preserve">A taxa escolhida no Painel. É ela que desconta o FCFF.</t>
  </si>
  <si>
    <t xml:space="preserve">Diferença para o CAPM</t>
  </si>
  <si>
    <t xml:space="preserve">WACC em uso − WACC do CAPM: quanto o cenário ou o ajuste manual deslocou a taxa.</t>
  </si>
  <si>
    <t xml:space="preserve">Ke em uso</t>
  </si>
  <si>
    <t xml:space="preserve">Ke + o mesmo ajuste. É a taxa que desconta o FCFE.</t>
  </si>
  <si>
    <t xml:space="preserve">Referência: estrutura a valor de mercado</t>
  </si>
  <si>
    <t xml:space="preserve">Valor de mercado (R$ milhões)</t>
  </si>
  <si>
    <t xml:space="preserve">Preço da ação × número de ações.</t>
  </si>
  <si>
    <t xml:space="preserve">Dívida bruta na data-base (R$ milhões)</t>
  </si>
  <si>
    <t xml:space="preserve">Dívida bruta no último balanço.</t>
  </si>
  <si>
    <t xml:space="preserve">Peso da dívida a valor de mercado</t>
  </si>
  <si>
    <t xml:space="preserve">Dívida ÷ (dívida + valor de mercado): serve para conferir o peso usado.</t>
  </si>
  <si>
    <t xml:space="preserve">Os fluxos de caixa trazidos a valor de hoje, o valor da empresa, o valor do acionista e o preço por ação.</t>
  </si>
  <si>
    <t xml:space="preserve">Fluxo da empresa (FCFF), descontado pelo WACC</t>
  </si>
  <si>
    <t xml:space="preserve">FCFF</t>
  </si>
  <si>
    <t xml:space="preserve">O caixa livre de cada ano (aba FCFF).</t>
  </si>
  <si>
    <t xml:space="preserve">Parte do ano que entra no valor</t>
  </si>
  <si>
    <t xml:space="preserve">De 2026 só conta a parte do ano que vem depois do último balanço. Os outros anos contam inteiros.</t>
  </si>
  <si>
    <t xml:space="preserve">Fim do período (anos desde a data-base)</t>
  </si>
  <si>
    <t xml:space="preserve">Quantos anos faltam, a partir do último balanço, até o fim de cada ano.</t>
  </si>
  <si>
    <t xml:space="preserve">Meio do período (quando o caixa entra, em média)</t>
  </si>
  <si>
    <t xml:space="preserve">O caixa entra ao longo do ano, não no último dia: usa-se o meio do período.</t>
  </si>
  <si>
    <t xml:space="preserve">Fator de desconto</t>
  </si>
  <si>
    <t xml:space="preserve">1 ÷ (1 + WACC) elevado ao número de anos. Quanto vale hoje R$ 1 recebido naquela data.</t>
  </si>
  <si>
    <t xml:space="preserve">Valor presente do fluxo</t>
  </si>
  <si>
    <t xml:space="preserve">FCFF × parte do ano × fator de desconto.</t>
  </si>
  <si>
    <t xml:space="preserve">Perpetuidade (Gordon)</t>
  </si>
  <si>
    <t xml:space="preserve">WACC</t>
  </si>
  <si>
    <t xml:space="preserve">A taxa de desconto em uso (aba WACC).</t>
  </si>
  <si>
    <t xml:space="preserve">Crescimento na perpetuidade (g)</t>
  </si>
  <si>
    <t xml:space="preserve">A taxa à qual o caixa cresce para sempre depois de 2030 (aba Premissas).</t>
  </si>
  <si>
    <t xml:space="preserve">O FCFF de 2030 ajustado para repetir para sempre (aba FCFF).</t>
  </si>
  <si>
    <t xml:space="preserve">Valor terminal no fim do último ano</t>
  </si>
  <si>
    <t xml:space="preserve">FCFF normalizado × (1 + g) ÷ (WACC − g). Resume em um número todos os anos depois de 2030.</t>
  </si>
  <si>
    <t xml:space="preserve">Valor presente do valor terminal</t>
  </si>
  <si>
    <t xml:space="preserve">Valor terminal ÷ (1 + WACC) elevado aos anos até o fim de 2030.</t>
  </si>
  <si>
    <t xml:space="preserve">Do valor da empresa ao preço por ação</t>
  </si>
  <si>
    <t xml:space="preserve">Soma dos valores presentes de 2026 a 2030.</t>
  </si>
  <si>
    <t xml:space="preserve">Valor da empresa (Enterprise Value)</t>
  </si>
  <si>
    <t xml:space="preserve">Valor presente dos fluxos + valor presente do valor terminal. Quanto vale a operação inteira.</t>
  </si>
  <si>
    <t xml:space="preserve">(-) Dívida líquida na data-base</t>
  </si>
  <si>
    <t xml:space="preserve">Sai: é dos credores (dívida bruta − caixa, no último balanço).</t>
  </si>
  <si>
    <t xml:space="preserve">(-) Participação de não controladores</t>
  </si>
  <si>
    <t xml:space="preserve">Sai: é dos sócios das controladas.</t>
  </si>
  <si>
    <t xml:space="preserve">(+) Investimentos em coligadas (valor contábil)</t>
  </si>
  <si>
    <t xml:space="preserve">Entra: participações em outras empresas, que o FCFF não contou.</t>
  </si>
  <si>
    <t xml:space="preserve">(-) Outros passivos tratados como dívida</t>
  </si>
  <si>
    <t xml:space="preserve">Sai: outros passivos que funcionam como dívida (aba Premissas).</t>
  </si>
  <si>
    <t xml:space="preserve">Valor do acionista (Equity Value)</t>
  </si>
  <si>
    <t xml:space="preserve">EV − dívida líquida − minoritários + investimentos − outros. Quanto vale a parte dos acionistas.</t>
  </si>
  <si>
    <t xml:space="preserve">Ações em circulação (milhões)</t>
  </si>
  <si>
    <t xml:space="preserve">Número de ações em circulação, sem as que estão na tesouraria.</t>
  </si>
  <si>
    <t xml:space="preserve">Valor do acionista ÷ número de ações.</t>
  </si>
  <si>
    <t xml:space="preserve">Diferença para o preço de mercado</t>
  </si>
  <si>
    <t xml:space="preserve">Peso do valor terminal no valor da empresa</t>
  </si>
  <si>
    <t xml:space="preserve">Quanto do valor da empresa vem de depois de 2030. Quanto maior, mais o resultado depende do longo prazo.</t>
  </si>
  <si>
    <t xml:space="preserve">EV / EBITDA 2026E implícito</t>
  </si>
  <si>
    <t xml:space="preserve">Valor da empresa ÷ EBITDA de 2026: o múltiplo que o DCF está pagando.</t>
  </si>
  <si>
    <t xml:space="preserve">Conferência pelo fluxo do acionista (FCFE), descontado pelo Ke</t>
  </si>
  <si>
    <t xml:space="preserve">FCFE</t>
  </si>
  <si>
    <t xml:space="preserve">O caixa livre do acionista de cada ano (aba FCFF).</t>
  </si>
  <si>
    <t xml:space="preserve">Fator de desconto pelo Ke</t>
  </si>
  <si>
    <t xml:space="preserve">1 ÷ (1 + Ke) elevado ao número de anos.</t>
  </si>
  <si>
    <t xml:space="preserve">Valor presente do FCFE</t>
  </si>
  <si>
    <t xml:space="preserve">FCFE × parte do ano × fator de desconto.</t>
  </si>
  <si>
    <t xml:space="preserve">Custo do capital próprio (Ke) em uso</t>
  </si>
  <si>
    <t xml:space="preserve">A taxa que desconta o caixa do acionista (aba WACC).</t>
  </si>
  <si>
    <t xml:space="preserve">O FCFE de 2030 ajustado para repetir para sempre (aba FCFF).</t>
  </si>
  <si>
    <t xml:space="preserve">Valor presente do valor terminal do FCFE</t>
  </si>
  <si>
    <t xml:space="preserve">Valor terminal do FCFE trazido a valor de hoje pelo Ke.</t>
  </si>
  <si>
    <t xml:space="preserve">Valor do acionista pelo FCFE</t>
  </si>
  <si>
    <t xml:space="preserve">Soma dos FCFE descontados, menos minoritários, mais investimentos. Deve ficar perto do valor pelo FCFF.</t>
  </si>
  <si>
    <t xml:space="preserve">Preço por ação pelo FCFE</t>
  </si>
  <si>
    <t xml:space="preserve">Valor do acionista pelo FCFE ÷ número de ações.</t>
  </si>
  <si>
    <t xml:space="preserve">Sensibilidade do preço justo: WACC (linhas) x crescimento perpétuo (colunas)</t>
  </si>
  <si>
    <t xml:space="preserve">WACC \ g</t>
  </si>
  <si>
    <t xml:space="preserve">Cada célula refaz a conta inteira com o WACC da linha e o g da coluna. A do meio é o preço justo.</t>
  </si>
  <si>
    <t xml:space="preserve">Valuation por múltiplos</t>
  </si>
  <si>
    <t xml:space="preserve">Quanto o mercado paga pelas comparáveis, com os números dos últimos doze meses. A mediana das outras quatro, aplicada à empresa escolhida, dá um preço implícito.</t>
  </si>
  <si>
    <t xml:space="preserve">Empresa (R$ milhões)</t>
  </si>
  <si>
    <t xml:space="preserve">Setor</t>
  </si>
  <si>
    <t xml:space="preserve">Preço</t>
  </si>
  <si>
    <t xml:space="preserve">Ações (milhões)</t>
  </si>
  <si>
    <t xml:space="preserve">Valor de mercado</t>
  </si>
  <si>
    <t xml:space="preserve">Minoritários</t>
  </si>
  <si>
    <t xml:space="preserve">EV</t>
  </si>
  <si>
    <t xml:space="preserve">Lucro</t>
  </si>
  <si>
    <t xml:space="preserve">Patrimônio</t>
  </si>
  <si>
    <t xml:space="preserve">EV/EBITDA</t>
  </si>
  <si>
    <t xml:space="preserve">EV/EBIT</t>
  </si>
  <si>
    <t xml:space="preserve">P/L</t>
  </si>
  <si>
    <t xml:space="preserve">P/VP</t>
  </si>
  <si>
    <t xml:space="preserve">Mineração</t>
  </si>
  <si>
    <t xml:space="preserve">Siderurgia</t>
  </si>
  <si>
    <t xml:space="preserve">Usiminas (USIM5)</t>
  </si>
  <si>
    <t xml:space="preserve">CSN Mineração (CMIN3)</t>
  </si>
  <si>
    <t xml:space="preserve">Mediana das comparáveis de VALE3 (sem ela)</t>
  </si>
  <si>
    <t xml:space="preserve">Mediana das comparáveis de CSNA3 (sem ela)</t>
  </si>
  <si>
    <t xml:space="preserve">Mediana das comparáveis de GGBR4 (sem ela)</t>
  </si>
  <si>
    <t xml:space="preserve">R$ / ação</t>
  </si>
  <si>
    <t xml:space="preserve">Pelo EV/EBITDA das comparáveis</t>
  </si>
  <si>
    <t xml:space="preserve">Mediana × EBITDA da empresa, menos dívida líquida e minoritários, ÷ número de ações.</t>
  </si>
  <si>
    <t xml:space="preserve">Pelo EV/EBIT das comparáveis</t>
  </si>
  <si>
    <t xml:space="preserve">Mediana × EBIT da empresa, menos dívida líquida e minoritários, ÷ número de ações.</t>
  </si>
  <si>
    <t xml:space="preserve">Pelo P/L das comparáveis</t>
  </si>
  <si>
    <t xml:space="preserve">Mediana × lucro da empresa ÷ número de ações. Não se aplica com prejuízo.</t>
  </si>
  <si>
    <t xml:space="preserve">Pelo P/VP das comparáveis</t>
  </si>
  <si>
    <t xml:space="preserve">Mediana × patrimônio dos controladores ÷ número de ações.</t>
  </si>
  <si>
    <t xml:space="preserve">Pelo fluxo de caixa descontado (aba Valor justo)</t>
  </si>
  <si>
    <t xml:space="preserve">Para comparar com os múltiplos.</t>
  </si>
  <si>
    <t xml:space="preserve">EV (valor da empresa) = valor de mercado + dívida líquida + minoritários.</t>
  </si>
  <si>
    <t xml:space="preserve">EV/EBITDA: quantos anos de EBITDA o mercado paga pela empresa inteira.</t>
  </si>
  <si>
    <t xml:space="preserve">P/L: quantos anos de lucro o mercado paga pela ação. P/VP: quanto paga por real de patrimônio.</t>
  </si>
  <si>
    <t xml:space="preserve">A mediana ignora os extremos: a Usiminas, com EBITDA perto de zero, tem EV/EBITDA fora da curva.</t>
  </si>
  <si>
    <t xml:space="preserve">De onde vem e para onde vai o caixa em cada ano, no cenário em uso. Abaixo, os três cenários lado a lado.</t>
  </si>
  <si>
    <t xml:space="preserve">Entradas e saídas de caixa</t>
  </si>
  <si>
    <t xml:space="preserve">Entradas (cash in)</t>
  </si>
  <si>
    <t xml:space="preserve">Caixa gerado pela operação (EBITDA sem equivalência)</t>
  </si>
  <si>
    <t xml:space="preserve">EBITDA sem equivalência: o caixa que a operação produz.</t>
  </si>
  <si>
    <t xml:space="preserve">Rendimento do caixa</t>
  </si>
  <si>
    <t xml:space="preserve">Juros recebidos sobre o caixa aplicado.</t>
  </si>
  <si>
    <t xml:space="preserve">Captação líquida de dívida (se positiva)</t>
  </si>
  <si>
    <t xml:space="preserve">Dívida nova que entrou, se a captação líquida foi positiva.</t>
  </si>
  <si>
    <t xml:space="preserve">Total de entradas</t>
  </si>
  <si>
    <t xml:space="preserve">Soma das entradas.</t>
  </si>
  <si>
    <t xml:space="preserve">Saídas (cash out)</t>
  </si>
  <si>
    <t xml:space="preserve">Imposto de renda e contribuição social.</t>
  </si>
  <si>
    <t xml:space="preserve">Investimento em ativos.</t>
  </si>
  <si>
    <t xml:space="preserve">Investimento em capital de giro</t>
  </si>
  <si>
    <t xml:space="preserve">Dinheiro a mais preso em clientes e estoques.</t>
  </si>
  <si>
    <t xml:space="preserve">Juros da dívida</t>
  </si>
  <si>
    <t xml:space="preserve">Juros pagos sobre a dívida.</t>
  </si>
  <si>
    <t xml:space="preserve">Amortização líquida de dívida (se negativa a captação)</t>
  </si>
  <si>
    <t xml:space="preserve">Dívida paga, se a captação líquida foi negativa.</t>
  </si>
  <si>
    <t xml:space="preserve">Dividendos</t>
  </si>
  <si>
    <t xml:space="preserve">Dinheiro entregue aos acionistas.</t>
  </si>
  <si>
    <t xml:space="preserve">Total de saídas</t>
  </si>
  <si>
    <t xml:space="preserve">Soma das saídas.</t>
  </si>
  <si>
    <t xml:space="preserve">Saldo</t>
  </si>
  <si>
    <t xml:space="preserve">Entradas - saídas</t>
  </si>
  <si>
    <t xml:space="preserve">Entradas − saídas: o que o caixa cresceu ou encolheu no ano.</t>
  </si>
  <si>
    <t xml:space="preserve">Caixa no fim do ano</t>
  </si>
  <si>
    <t xml:space="preserve">Saldo de caixa no fim do ano (aba Projeção).</t>
  </si>
  <si>
    <t xml:space="preserve">Checagem: bate com a variação de caixa da projeção (zero)</t>
  </si>
  <si>
    <t xml:space="preserve">Tem de ser zero: a conta daqui bate com a da projeção.</t>
  </si>
  <si>
    <t xml:space="preserve">Os três cenários da empresa escolhida (calculados pelo modelo)</t>
  </si>
  <si>
    <t xml:space="preserve">Margem EBITDA 2030E</t>
  </si>
  <si>
    <t xml:space="preserve">Receita 2030E</t>
  </si>
  <si>
    <t xml:space="preserve">Caixa no fim de 2030E</t>
  </si>
  <si>
    <t xml:space="preserve">Dívida líquida / EBITDA 2030E</t>
  </si>
  <si>
    <t xml:space="preserve">Preço justo na planilha viva, no cenário em uso</t>
  </si>
  <si>
    <t xml:space="preserve">Diferença para o comparativo acima (zero sem ajuste manual)</t>
  </si>
  <si>
    <t xml:space="preserve">Confere a planilha contra o modelo em Python. Com ajuste manual o cenário já não é nenhum dos três.</t>
  </si>
  <si>
    <t xml:space="preserve">Ação contra minério de ferro</t>
  </si>
  <si>
    <t xml:space="preserve">A ação anda junto com o minério? A conta usa a variação de um mês para o outro, não o nível do preço: duas séries que só sobem parecem ligadas mesmo sem ter relação.</t>
  </si>
  <si>
    <t xml:space="preserve">Contra o minério em dólar</t>
  </si>
  <si>
    <t xml:space="preserve">Contra o minério em reais</t>
  </si>
  <si>
    <t xml:space="preserve">Variação mensal da ação</t>
  </si>
  <si>
    <t xml:space="preserve">Correlação</t>
  </si>
  <si>
    <t xml:space="preserve">Sensibilidade</t>
  </si>
  <si>
    <t xml:space="preserve">R²</t>
  </si>
  <si>
    <t xml:space="preserve">Correlação: vai de -1 a 1. Perto de 1, a ação sobe quando o minério sobe; perto de 0, não há relação.</t>
  </si>
  <si>
    <t xml:space="preserve">Sensibilidade: quanto a ação costuma variar quando o minério varia 1% (inclinação da reta).</t>
  </si>
  <si>
    <t xml:space="preserve">R²: quanto da oscilação da ação o minério explica sozinho. O resto vem de câmbio, juros, custos e notícias.</t>
  </si>
  <si>
    <t xml:space="preserve">Período: 2021-01 a 2026-09, 68 variações mensais. Preço médio do mês; ações sem ajuste de dividendos.</t>
  </si>
  <si>
    <t xml:space="preserve">Fontes: Banco Mundial (minério 62% Fe, CFR China), Banco Central (dólar PTAX) e B3 (COTAHIST).</t>
  </si>
  <si>
    <t xml:space="preserve">Mês</t>
  </si>
  <si>
    <t xml:space="preserve">Minério (US$/t)</t>
  </si>
  <si>
    <t xml:space="preserve">Dólar (R$)</t>
  </si>
  <si>
    <t xml:space="preserve">Minério (R$/t)</t>
  </si>
  <si>
    <t xml:space="preserve">VALE3</t>
  </si>
  <si>
    <t xml:space="preserve">CSNA3</t>
  </si>
  <si>
    <t xml:space="preserve">GGBR4</t>
  </si>
  <si>
    <t xml:space="preserve">Ação escolhida</t>
  </si>
  <si>
    <t xml:space="preserve">Var. minério US$</t>
  </si>
  <si>
    <t xml:space="preserve">Var. minério R$</t>
  </si>
  <si>
    <t xml:space="preserve">Var. VALE3</t>
  </si>
  <si>
    <t xml:space="preserve">Var. CSNA3</t>
  </si>
  <si>
    <t xml:space="preserve">Var. GGBR4</t>
  </si>
  <si>
    <t xml:space="preserve">Var. ação escolhida</t>
  </si>
  <si>
    <t xml:space="preserve">Minério, base 100</t>
  </si>
  <si>
    <t xml:space="preserve">Ação escolhida, base 100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</si>
  <si>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</si>
  <si>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</si>
  <si>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</si>
  <si>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</si>
  <si>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</si>
  <si>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</si>
  <si>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</si>
  <si>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</si>
  <si>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</si>
  <si>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</si>
  <si>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</si>
  <si>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</si>
  <si>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</si>
  <si>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</si>
  <si>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</si>
  <si>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</si>
  <si>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</si>
  <si>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</si>
  <si>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</si>
  <si>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</si>
  <si>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</si>
  <si>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</si>
  <si>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</si>
  <si>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</si>
  <si>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</si>
  <si>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</si>
  <si>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</si>
  <si>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</si>
  <si>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</si>
  <si>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</si>
  <si>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</si>
  <si>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</si>
  <si>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</si>
  <si>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</si>
  <si>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</si>
  <si>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</si>
  <si>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</si>
  <si>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</si>
  <si>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</si>
  <si>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</si>
  <si>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</si>
  <si>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</si>
  <si>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</si>
  <si>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</si>
  <si>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</si>
  <si>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</si>
  <si>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</si>
  <si>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</si>
  <si>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</si>
  <si>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</si>
  <si>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</si>
  <si>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</si>
  <si>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</si>
  <si>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</si>
  <si>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</si>
  <si>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</si>
  <si>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</si>
  <si>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</si>
  <si>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</si>
  <si>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</si>
  <si>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</si>
  <si>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</si>
  <si>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</si>
  <si>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</si>
  <si>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</si>
  <si>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</si>
  <si>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</si>
  <si>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</si>
  <si>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</si>
  <si>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Glossário</t>
  </si>
  <si>
    <t xml:space="preserve">O que é cada indicador, como se calcula e em que aba aparece.</t>
  </si>
  <si>
    <t xml:space="preserve">Termo</t>
  </si>
  <si>
    <t xml:space="preserve">Tudo o que a empresa vendeu, sem os impostos sobre a venda.</t>
  </si>
  <si>
    <t xml:space="preserve">Vem direto da DRE.</t>
  </si>
  <si>
    <t xml:space="preserve">Demonstrativos</t>
  </si>
  <si>
    <t xml:space="preserve">Lucro da operação, antes de juros e imposto de renda.</t>
  </si>
  <si>
    <t xml:space="preserve">Lucro bruto − despesas operacionais.</t>
  </si>
  <si>
    <t xml:space="preserve">Aproximação do caixa que a operação gera antes de investir e pagar juros.</t>
  </si>
  <si>
    <t xml:space="preserve">EBIT + depreciação e amortização.</t>
  </si>
  <si>
    <t xml:space="preserve">Quanto de cada real vendido vira caixa operacional.</t>
  </si>
  <si>
    <t xml:space="preserve">EBITDA ÷ receita.</t>
  </si>
  <si>
    <t xml:space="preserve">Depreciação e amortização</t>
  </si>
  <si>
    <t xml:space="preserve">Desgaste contábil dos ativos. É custo, mas não sai do caixa.</t>
  </si>
  <si>
    <t xml:space="preserve">Taxa × ativo fixo do início do ano.</t>
  </si>
  <si>
    <t xml:space="preserve">Projeção</t>
  </si>
  <si>
    <t xml:space="preserve">NOPAT</t>
  </si>
  <si>
    <t xml:space="preserve">Lucro da operação depois do imposto, como se não houvesse dívida.</t>
  </si>
  <si>
    <t xml:space="preserve">(EBIT − equivalência) × (1 − alíquota).</t>
  </si>
  <si>
    <t xml:space="preserve">Dinheiro investido em máquinas, minas e fábricas.</t>
  </si>
  <si>
    <t xml:space="preserve">Percentual da receita.</t>
  </si>
  <si>
    <t xml:space="preserve">Opex</t>
  </si>
  <si>
    <t xml:space="preserve">Despesas para a empresa funcionar: vendas, administração e outras.</t>
  </si>
  <si>
    <t xml:space="preserve">Dinheiro preso no dia a dia: o que os clientes devem e o estoque, menos o que se deve a fornecedores.</t>
  </si>
  <si>
    <t xml:space="preserve">Ciclo de caixa</t>
  </si>
  <si>
    <t xml:space="preserve">Quantos dias a empresa financia a operação do próprio bolso.</t>
  </si>
  <si>
    <t xml:space="preserve">Prazo de recebimento + prazo de estoque − prazo de pagamento.</t>
  </si>
  <si>
    <t xml:space="preserve">Caixa livre da empresa: o que sobra para credores e acionistas depois de investir.</t>
  </si>
  <si>
    <t xml:space="preserve">NOPAT + depreciação − capex − variação do capital de giro.</t>
  </si>
  <si>
    <t xml:space="preserve">Caixa livre do acionista: o que sobra depois de pagar juros e dívida.</t>
  </si>
  <si>
    <t xml:space="preserve">Lucro líquido − equivalência + depreciação − capex − variação do giro + captação.</t>
  </si>
  <si>
    <t xml:space="preserve">O retorno de um investimento sem risco de calote.</t>
  </si>
  <si>
    <t xml:space="preserve">Taxa do Tesouro prefixado de dez anos.</t>
  </si>
  <si>
    <t xml:space="preserve">Quanto a ação anda quando a bolsa anda 1%.</t>
  </si>
  <si>
    <t xml:space="preserve">Inclinação da regressão dos retornos da ação contra os do BOVA11.</t>
  </si>
  <si>
    <t xml:space="preserve">Retorno a mais exigido para investir em ações.</t>
  </si>
  <si>
    <t xml:space="preserve">Estimativa de Damodaran (NYU).</t>
  </si>
  <si>
    <t xml:space="preserve">CAPM / Ke</t>
  </si>
  <si>
    <t xml:space="preserve">O retorno que o acionista exige para investir na empresa.</t>
  </si>
  <si>
    <t xml:space="preserve">Rf + beta × prêmio de mercado.</t>
  </si>
  <si>
    <t xml:space="preserve">Kd</t>
  </si>
  <si>
    <t xml:space="preserve">O juro que a empresa paga pela dívida.</t>
  </si>
  <si>
    <t xml:space="preserve">Depois do imposto: Kd × (1 − alíquota).</t>
  </si>
  <si>
    <t xml:space="preserve">Custo médio do capital da empresa. É a taxa que desconta o FCFF.</t>
  </si>
  <si>
    <t xml:space="preserve">Ke × peso dos sócios + Kd após imposto × peso da dívida.</t>
  </si>
  <si>
    <t xml:space="preserve">Valor presente</t>
  </si>
  <si>
    <t xml:space="preserve">Quanto vale hoje um dinheiro que só chega no futuro.</t>
  </si>
  <si>
    <t xml:space="preserve">Fluxo ÷ (1 + WACC) elevado ao número de anos.</t>
  </si>
  <si>
    <t xml:space="preserve">Valor justo</t>
  </si>
  <si>
    <t xml:space="preserve">Perpetuidade / valor terminal</t>
  </si>
  <si>
    <t xml:space="preserve">O valor de todos os anos depois do último projetado.</t>
  </si>
  <si>
    <t xml:space="preserve">FCFF × (1 + g) ÷ (WACC − g).</t>
  </si>
  <si>
    <t xml:space="preserve">g</t>
  </si>
  <si>
    <t xml:space="preserve">Taxa à qual o caixa cresce para sempre depois de 2030.</t>
  </si>
  <si>
    <t xml:space="preserve">Inflação esperada de longo prazo: crescimento real zero.</t>
  </si>
  <si>
    <t xml:space="preserve">Premissas</t>
  </si>
  <si>
    <t xml:space="preserve">Enterprise Value (EV)</t>
  </si>
  <si>
    <t xml:space="preserve">Valor da operação inteira, para credores e acionistas.</t>
  </si>
  <si>
    <t xml:space="preserve">Soma dos FCFF descontados + valor terminal descontado.</t>
  </si>
  <si>
    <t xml:space="preserve">O que a empresa deve depois de usar todo o caixa.</t>
  </si>
  <si>
    <t xml:space="preserve">Dívida bruta − caixa e aplicações.</t>
  </si>
  <si>
    <t xml:space="preserve">Equity Value</t>
  </si>
  <si>
    <t xml:space="preserve">Valor da parte dos acionistas.</t>
  </si>
  <si>
    <t xml:space="preserve">EV − dívida líquida − minoritários + investimentos.</t>
  </si>
  <si>
    <t xml:space="preserve">Preço justo</t>
  </si>
  <si>
    <t xml:space="preserve">Quanto vale cada ação segundo o modelo.</t>
  </si>
  <si>
    <t xml:space="preserve">Equity Value ÷ número de ações.</t>
  </si>
  <si>
    <t xml:space="preserve">Quantos anos de EBITDA o mercado paga pela empresa.</t>
  </si>
  <si>
    <t xml:space="preserve">(Valor de mercado + dívida líquida + minoritários) ÷ EBITDA.</t>
  </si>
  <si>
    <t xml:space="preserve">Múltiplos</t>
  </si>
  <si>
    <t xml:space="preserve">Quantos anos de lucro o mercado paga pela ação.</t>
  </si>
  <si>
    <t xml:space="preserve">Valor de mercado ÷ lucro líquido.</t>
  </si>
  <si>
    <t xml:space="preserve">Quanto o mercado paga por cada real de patrimônio.</t>
  </si>
  <si>
    <t xml:space="preserve">Valor de mercado ÷ patrimônio líquido.</t>
  </si>
  <si>
    <t xml:space="preserve">ROIC</t>
  </si>
  <si>
    <t xml:space="preserve">Retorno de todo o capital posto na operação.</t>
  </si>
  <si>
    <t xml:space="preserve">NOPAT ÷ (capital de giro + ativo fixo).</t>
  </si>
  <si>
    <t xml:space="preserve">ROE</t>
  </si>
  <si>
    <t xml:space="preserve">Retorno do dinheiro do acionista.</t>
  </si>
  <si>
    <t xml:space="preserve">Lucro líquido ÷ patrimônio líquido.</t>
  </si>
  <si>
    <t xml:space="preserve">Quantos anos de geração de caixa pagam a dívida.</t>
  </si>
  <si>
    <t xml:space="preserve">Quanto o preço justo muda quando uma premissa muda.</t>
  </si>
  <si>
    <t xml:space="preserve">O valuation refeito para cada par de WACC e g.</t>
  </si>
  <si>
    <t xml:space="preserve">Mede se duas coisas andam juntas: 1 é sempre juntas, 0 é sem relação, −1 é sempre opostas.</t>
  </si>
  <si>
    <t xml:space="preserve">Entre a variação mensal da ação e a do minério.</t>
  </si>
  <si>
    <t xml:space="preserve">Quanto da oscilação da ação o minério explica.</t>
  </si>
  <si>
    <t xml:space="preserve">Correlação elevada ao quadrado.</t>
  </si>
  <si>
    <t xml:space="preserve">O primeiro bloco mostra a empresa escolhida no Painel e é o que o modelo lê. Para mudar uma premissa, edite as células azuis no bloco da empresa, mais abaixo.</t>
  </si>
  <si>
    <t xml:space="preserve">Empresas</t>
  </si>
  <si>
    <t xml:space="preserve">Variáveis de cenário</t>
  </si>
  <si>
    <t xml:space="preserve">Partida 2026</t>
  </si>
  <si>
    <t xml:space="preserve">Crescimento da receita, ao ano (2027 a 2030)</t>
  </si>
  <si>
    <t xml:space="preserve">WACC: pontos acima ou abaixo do CAPM</t>
  </si>
  <si>
    <t xml:space="preserve">Iguais nos três cenários, por ano</t>
  </si>
  <si>
    <t xml:space="preserve">Despesas operacionais (% da receita)</t>
  </si>
  <si>
    <t xml:space="preserve">Equivalência patrimonial (R$ milhões)</t>
  </si>
  <si>
    <t xml:space="preserve">Investimento - capex (% da receita)</t>
  </si>
  <si>
    <t xml:space="preserve">Depreciação (% do ativo fixo inicial)</t>
  </si>
  <si>
    <t xml:space="preserve">Captação líquida de dívida (R$ milhões)</t>
  </si>
  <si>
    <t xml:space="preserve">Iguais nos três cenários, gerais</t>
  </si>
  <si>
    <t xml:space="preserve">Juros pagos sobre a dívida (% do saldo inicial)</t>
  </si>
  <si>
    <t xml:space="preserve">Custo da dívida no WACC, em reais, antes do imposto (Kd)</t>
  </si>
  <si>
    <t xml:space="preserve">Dividendos (% do lucro)</t>
  </si>
  <si>
    <t xml:space="preserve">Prêmio adicional (tamanho, risco específico)</t>
  </si>
  <si>
    <t xml:space="preserve">Peso da dívida na estrutura de capital</t>
  </si>
  <si>
    <t xml:space="preserve">Capex na perpetuidade (múltiplo da depreciação)</t>
  </si>
  <si>
    <t xml:space="preserve">Outros passivos tratados como dívida (R$ milhões)</t>
  </si>
  <si>
    <t xml:space="preserve">Dados de mercado e datas</t>
  </si>
  <si>
    <t xml:space="preserve">Data-base do valuation</t>
  </si>
  <si>
    <t xml:space="preserve">Preço da ação (R$)</t>
  </si>
  <si>
    <t xml:space="preserve">Data do preço</t>
  </si>
  <si>
    <t xml:space="preserve">De onde veio</t>
  </si>
  <si>
    <t xml:space="preserve">2026: nível dos últimos 12 meses (LTM 2T26). Pessimista: receita parada, ou seja, queda real. Moderado: inflação esperada no Focus para 2027-2030, crescimento real zero. Otimista: crescimento médio da receita de 2018 a 2025 (6,8% ao ano).</t>
  </si>
  <si>
    <t xml:space="preserve">2026: nível dos últimos 12 meses (LTM 2T26). Daí até 2030 em linha reta. Faixa: margem EBITDA de 2021 a 2025, sem perdas por recuperabilidade. Pessimista é o segundo pior ano, moderado a mediana e otimista o segundo melhor.</t>
  </si>
  <si>
    <t xml:space="preserve">Moderado: o WACC que sai do CAPM. O juro prefixado longo andou de 12,2% a 15,3% nos últimos dois anos; pessimista e otimista deslocam o WACC em metade dessa amplitude.</t>
  </si>
  <si>
    <t xml:space="preserve">Vendas, administrativas e outras, sem perdas por recuperabilidade. Do nível dos últimos 12 meses até a mediana de 2021-2025.</t>
  </si>
  <si>
    <t xml:space="preserve">Mediana de 2021-2025, mantida.</t>
  </si>
  <si>
    <t xml:space="preserve">Do nível dos últimos 12 meses até a mediana de 2021-2025.</t>
  </si>
  <si>
    <t xml:space="preserve">Prazo de 2025, mantido.</t>
  </si>
  <si>
    <t xml:space="preserve">Dívida bruta mantida no nível de 2025.</t>
  </si>
  <si>
    <t xml:space="preserve">Alíquota nominal: IRPJ 25% + CSLL 9%.</t>
  </si>
  <si>
    <t xml:space="preserve">Custo médio de 5,6% ao ano em dólar, depois de swaps (formulário 6-K do 2T26, SEC).</t>
  </si>
  <si>
    <t xml:space="preserve">Custo médio de 5,6% ao ano em dólar, depois de swaps (formulário 6-K do 2T26, SEC). A parte em dólar foi trazida para reais pela diferença de inflação (3,5% no Brasil, 2,0% nos EUA).</t>
  </si>
  <si>
    <t xml:space="preserve">Mediana 2023-2025 da receita financeira sobre o caixa médio.</t>
  </si>
  <si>
    <t xml:space="preserve">Mediana 2021-2025 de dividendos pagos sobre lucro, limitada a 0-100%.</t>
  </si>
  <si>
    <t xml:space="preserve">Tesouro prefixado de dez anos (em reais, nominal).</t>
  </si>
  <si>
    <t xml:space="preserve">Regressão de 5 anos, retornos semanais contra o BOVA11, preços sem ajuste de proventos. Beta de 2 anos: 0,64.</t>
  </si>
  <si>
    <t xml:space="preserve">Damodaran, mercado maduro. O risco-país já está no juro em reais.</t>
  </si>
  <si>
    <t xml:space="preserve">Sem prêmio adicional.</t>
  </si>
  <si>
    <t xml:space="preserve">Dívida bruta do 2T26 sobre dívida mais valor de mercado.</t>
  </si>
  <si>
    <t xml:space="preserve">IPCA esperado para 2030: crescimento real zero.</t>
  </si>
  <si>
    <t xml:space="preserve">Na perpetuidade a empresa reinveste o que deprecia.</t>
  </si>
  <si>
    <t xml:space="preserve">Nenhum. Provisões (barragens, contingências) não entram como dívida.</t>
  </si>
  <si>
    <t xml:space="preserve">Último balanço trimestral (ITR).</t>
  </si>
  <si>
    <t xml:space="preserve">CVM, composição do capital, sem ações em tesouraria.</t>
  </si>
  <si>
    <t xml:space="preserve">B3, último fechamento.</t>
  </si>
  <si>
    <t xml:space="preserve">Ações em circulação pelo preço de cada classe.</t>
  </si>
  <si>
    <t xml:space="preserve">2026-10-08</t>
  </si>
  <si>
    <t xml:space="preserve">Pregão do preço acima.</t>
  </si>
  <si>
    <t xml:space="preserve">2026: nível dos últimos 12 meses (LTM 2T26). Pessimista: receita parada, ou seja, queda real. Moderado: inflação esperada no Focus para 2027-2030, crescimento real zero. Otimista: crescimento médio da receita de 2018 a 2025 (10,0% ao ano), limitado a 4% acima da inflação porque parte veio de aquisições.</t>
  </si>
  <si>
    <t xml:space="preserve">A CSN não divulga custo médio. Juros pagos em 2025 (R$ 4.268 mi, linha "Juros pagos" do fluxo de caixa na CVM) sobre a dívida bruta média do ano.</t>
  </si>
  <si>
    <t xml:space="preserve">A empresa não divulga custo médio: mantido o piso, a taxa do Tesouro prefixado de dez anos, sem spread de crédito.</t>
  </si>
  <si>
    <t xml:space="preserve">Regressão de 5 anos, retornos semanais contra o BOVA11, preços sem ajuste de proventos. Beta de 2 anos: 1,48.</t>
  </si>
  <si>
    <t xml:space="preserve">2026: nível dos últimos 12 meses (LTM 2T26). Pessimista: receita parada, ou seja, queda real. Moderado: inflação esperada no Focus para 2027-2030, crescimento real zero. Otimista: crescimento médio da receita de 2018 a 2025 (6,1% ao ano).</t>
  </si>
  <si>
    <t xml:space="preserve">53% da dívida em dólar a 6,13% ao ano e 46% em reais a CDI - 0,15% (formulário 6-K do 2T26, SEC). CDI de 13,65%.</t>
  </si>
  <si>
    <t xml:space="preserve">53% da dívida em dólar a 6,13% ao ano e 46% em reais a CDI - 0,15% (formulário 6-K do 2T26, SEC). CDI de 13,65%. A parte em dólar foi trazida para reais pela diferença de inflação (3,5% no Brasil, 2,0% nos EUA).</t>
  </si>
  <si>
    <t xml:space="preserve">Regressão de 5 anos, retornos semanais contra o BOVA11, preços sem ajuste de proventos. Beta de 2 anos: 0,71.</t>
  </si>
  <si>
    <t xml:space="preserve">Dados da CVM</t>
  </si>
  <si>
    <t xml:space="preserve">Demonstrações consolidadas entregues à CVM (DFP e ITR), em R$ milhões. A aba Demonstrativos mostra o bloco da empresa escolhida no Painel.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</si>
</sst>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;[RED]\-0.0%"/>
    <numFmt numFmtId="166" formatCode="&quot;R$ &quot;#,##0.00;[RED]&quot;-R$ &quot;#,##0.00"/>
    <numFmt numFmtId="167" formatCode="#,##0;[RED]\-#,##0"/>
    <numFmt numFmtId="168" formatCode="0.00%;[RED]\-0.00%"/>
    <numFmt numFmtId="169" formatCode="0.0000"/>
    <numFmt numFmtId="170" formatCode="#,##0.0"/>
    <numFmt numFmtId="171" formatCode="0"/>
    <numFmt numFmtId="172" formatCode="0.00\x"/>
    <numFmt numFmtId="173" formatCode="0.00"/>
    <numFmt numFmtId="174" formatCode="0.000"/>
    <numFmt numFmtId="175" formatCode="0.0"/>
    <numFmt numFmtId="176" formatCode="dd/mm/yyyy"/>
    <numFmt numFmtId="177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1F3864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95959"/>
      <rgbColor rgb="FF4F81BD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FCFF projetado (R$ milhões)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FCFF!$D$4:$H$4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FCFF!$D$13:$H$13</c:f>
              <c:numCache>
                <c:formatCode>#,##0;[RED]\-#,##0</c:formatCode>
                <c:ptCount val="5"/>
                <c:pt idx="0">
                  <c:v>24290.6017583097</c:v>
                </c:pt>
                <c:pt idx="1">
                  <c:v>27056.5532742396</c:v>
                </c:pt>
                <c:pt idx="2">
                  <c:v>30224.5879319107</c:v>
                </c:pt>
                <c:pt idx="3">
                  <c:v>33582.7340390794</c:v>
                </c:pt>
                <c:pt idx="4">
                  <c:v>37166.8269953079</c:v>
                </c:pt>
              </c:numCache>
            </c:numRef>
          </c:val>
        </c:ser>
        <c:gapWidth val="150"/>
        <c:overlap val="0"/>
        <c:axId val="77798981"/>
        <c:axId val="56045745"/>
      </c:barChart>
      <c:catAx>
        <c:axId val="777989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45745"/>
        <c:crosses val="autoZero"/>
        <c:auto val="1"/>
        <c:lblAlgn val="ctr"/>
        <c:lblOffset val="100"/>
        <c:noMultiLvlLbl val="0"/>
      </c:catAx>
      <c:valAx>
        <c:axId val="560457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989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Minério de ferro e ação escolhida (primeiro mês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Correlação!P21</c:f>
              <c:strCache>
                <c:ptCount val="1"/>
                <c:pt idx="0">
                  <c:v>Minério, base 100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Correlação!$B$22:$B$90</c:f>
              <c:strCache>
                <c:ptCount val="69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  <c:pt idx="67">
                  <c:v>2026-08</c:v>
                </c:pt>
                <c:pt idx="68">
                  <c:v>2026-09</c:v>
                </c:pt>
              </c:strCache>
            </c:strRef>
          </c:cat>
          <c:val>
            <c:numRef>
              <c:f>Correlação!$P$22:$P$90</c:f>
              <c:numCache>
                <c:formatCode>0.0</c:formatCode>
                <c:ptCount val="69"/>
                <c:pt idx="0">
                  <c:v>100</c:v>
                </c:pt>
                <c:pt idx="1">
                  <c:v>96.5801886792453</c:v>
                </c:pt>
                <c:pt idx="2">
                  <c:v>99.1745283018868</c:v>
                </c:pt>
                <c:pt idx="3">
                  <c:v>106.014150943396</c:v>
                </c:pt>
                <c:pt idx="4">
                  <c:v>122.464622641509</c:v>
                </c:pt>
                <c:pt idx="5">
                  <c:v>126.415094339623</c:v>
                </c:pt>
                <c:pt idx="6">
                  <c:v>126.23820754717</c:v>
                </c:pt>
                <c:pt idx="7">
                  <c:v>95.6367924528302</c:v>
                </c:pt>
                <c:pt idx="8">
                  <c:v>73.4080188679245</c:v>
                </c:pt>
                <c:pt idx="9">
                  <c:v>72.4646226415094</c:v>
                </c:pt>
                <c:pt idx="10">
                  <c:v>56.7216981132076</c:v>
                </c:pt>
                <c:pt idx="11">
                  <c:v>68.9858490566038</c:v>
                </c:pt>
                <c:pt idx="12">
                  <c:v>78.125</c:v>
                </c:pt>
                <c:pt idx="13">
                  <c:v>84.1981132075472</c:v>
                </c:pt>
                <c:pt idx="14">
                  <c:v>89.6816037735849</c:v>
                </c:pt>
                <c:pt idx="15">
                  <c:v>89.2099056603774</c:v>
                </c:pt>
                <c:pt idx="16">
                  <c:v>77.3584905660377</c:v>
                </c:pt>
                <c:pt idx="17">
                  <c:v>77.063679245283</c:v>
                </c:pt>
                <c:pt idx="18">
                  <c:v>64.0330188679245</c:v>
                </c:pt>
                <c:pt idx="19">
                  <c:v>64.2099056603774</c:v>
                </c:pt>
                <c:pt idx="20">
                  <c:v>58.8443396226415</c:v>
                </c:pt>
                <c:pt idx="21">
                  <c:v>54.5990566037736</c:v>
                </c:pt>
                <c:pt idx="22">
                  <c:v>55.0117924528302</c:v>
                </c:pt>
                <c:pt idx="23">
                  <c:v>65.9198113207547</c:v>
                </c:pt>
                <c:pt idx="24">
                  <c:v>72.0518867924528</c:v>
                </c:pt>
                <c:pt idx="25">
                  <c:v>75.2358490566038</c:v>
                </c:pt>
                <c:pt idx="26">
                  <c:v>75.7075471698113</c:v>
                </c:pt>
                <c:pt idx="27">
                  <c:v>69.2216981132076</c:v>
                </c:pt>
                <c:pt idx="28">
                  <c:v>62.0283018867925</c:v>
                </c:pt>
                <c:pt idx="29">
                  <c:v>66.9221698113208</c:v>
                </c:pt>
                <c:pt idx="30">
                  <c:v>67.4528301886792</c:v>
                </c:pt>
                <c:pt idx="31">
                  <c:v>64.9764150943396</c:v>
                </c:pt>
                <c:pt idx="32">
                  <c:v>71.3443396226415</c:v>
                </c:pt>
                <c:pt idx="33">
                  <c:v>70.1650943396226</c:v>
                </c:pt>
                <c:pt idx="34">
                  <c:v>77.2995283018868</c:v>
                </c:pt>
                <c:pt idx="35">
                  <c:v>80.8372641509434</c:v>
                </c:pt>
                <c:pt idx="36">
                  <c:v>80.0707547169811</c:v>
                </c:pt>
                <c:pt idx="37">
                  <c:v>73.3490566037736</c:v>
                </c:pt>
                <c:pt idx="38">
                  <c:v>64.7405660377359</c:v>
                </c:pt>
                <c:pt idx="39">
                  <c:v>66.5094339622642</c:v>
                </c:pt>
                <c:pt idx="40">
                  <c:v>70.1061320754717</c:v>
                </c:pt>
                <c:pt idx="41">
                  <c:v>63.3844339622642</c:v>
                </c:pt>
                <c:pt idx="42">
                  <c:v>63.0306603773585</c:v>
                </c:pt>
                <c:pt idx="43">
                  <c:v>58.9033018867925</c:v>
                </c:pt>
                <c:pt idx="44">
                  <c:v>54.7169811320755</c:v>
                </c:pt>
                <c:pt idx="45">
                  <c:v>59.7877358490566</c:v>
                </c:pt>
                <c:pt idx="46">
                  <c:v>59.2570754716981</c:v>
                </c:pt>
                <c:pt idx="47">
                  <c:v>60.2594339622642</c:v>
                </c:pt>
                <c:pt idx="48">
                  <c:v>58.7264150943396</c:v>
                </c:pt>
                <c:pt idx="49">
                  <c:v>61.9693396226415</c:v>
                </c:pt>
                <c:pt idx="50">
                  <c:v>59.0212264150943</c:v>
                </c:pt>
                <c:pt idx="51">
                  <c:v>57.311320754717</c:v>
                </c:pt>
                <c:pt idx="52">
                  <c:v>57.1933962264151</c:v>
                </c:pt>
                <c:pt idx="53">
                  <c:v>54.4221698113208</c:v>
                </c:pt>
                <c:pt idx="54">
                  <c:v>57.3702830188679</c:v>
                </c:pt>
                <c:pt idx="55">
                  <c:v>58.7853773584906</c:v>
                </c:pt>
                <c:pt idx="56">
                  <c:v>60.9080188679245</c:v>
                </c:pt>
                <c:pt idx="57">
                  <c:v>61.0259433962264</c:v>
                </c:pt>
                <c:pt idx="58">
                  <c:v>60.436320754717</c:v>
                </c:pt>
                <c:pt idx="59">
                  <c:v>61.6745283018868</c:v>
                </c:pt>
                <c:pt idx="60">
                  <c:v>62.2051886792453</c:v>
                </c:pt>
                <c:pt idx="61">
                  <c:v>58.2547169811321</c:v>
                </c:pt>
                <c:pt idx="62">
                  <c:v>61.6155660377358</c:v>
                </c:pt>
                <c:pt idx="63">
                  <c:v>62.5589622641509</c:v>
                </c:pt>
                <c:pt idx="64">
                  <c:v>64.0330188679245</c:v>
                </c:pt>
                <c:pt idx="65">
                  <c:v>59.4339622641509</c:v>
                </c:pt>
                <c:pt idx="66">
                  <c:v>57.9009433962264</c:v>
                </c:pt>
                <c:pt idx="67">
                  <c:v>56.7806603773585</c:v>
                </c:pt>
                <c:pt idx="68">
                  <c:v>57.6061320754717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Correlação!Q21</c:f>
              <c:strCache>
                <c:ptCount val="1"/>
                <c:pt idx="0">
                  <c:v>Ação escolhida, base 100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Correlação!$B$22:$B$90</c:f>
              <c:strCache>
                <c:ptCount val="69"/>
                <c:pt idx="0">
                  <c:v>2021-01</c:v>
                </c:pt>
                <c:pt idx="1">
                  <c:v>2021-02</c:v>
                </c:pt>
                <c:pt idx="2">
                  <c:v>2021-03</c:v>
                </c:pt>
                <c:pt idx="3">
                  <c:v>2021-04</c:v>
                </c:pt>
                <c:pt idx="4">
                  <c:v>2021-05</c:v>
                </c:pt>
                <c:pt idx="5">
                  <c:v>2021-06</c:v>
                </c:pt>
                <c:pt idx="6">
                  <c:v>2021-07</c:v>
                </c:pt>
                <c:pt idx="7">
                  <c:v>2021-08</c:v>
                </c:pt>
                <c:pt idx="8">
                  <c:v>2021-09</c:v>
                </c:pt>
                <c:pt idx="9">
                  <c:v>2021-10</c:v>
                </c:pt>
                <c:pt idx="10">
                  <c:v>2021-11</c:v>
                </c:pt>
                <c:pt idx="11">
                  <c:v>2021-12</c:v>
                </c:pt>
                <c:pt idx="12">
                  <c:v>2022-01</c:v>
                </c:pt>
                <c:pt idx="13">
                  <c:v>2022-02</c:v>
                </c:pt>
                <c:pt idx="14">
                  <c:v>2022-03</c:v>
                </c:pt>
                <c:pt idx="15">
                  <c:v>2022-04</c:v>
                </c:pt>
                <c:pt idx="16">
                  <c:v>2022-05</c:v>
                </c:pt>
                <c:pt idx="17">
                  <c:v>2022-06</c:v>
                </c:pt>
                <c:pt idx="18">
                  <c:v>2022-07</c:v>
                </c:pt>
                <c:pt idx="19">
                  <c:v>2022-08</c:v>
                </c:pt>
                <c:pt idx="20">
                  <c:v>2022-09</c:v>
                </c:pt>
                <c:pt idx="21">
                  <c:v>2022-10</c:v>
                </c:pt>
                <c:pt idx="22">
                  <c:v>2022-11</c:v>
                </c:pt>
                <c:pt idx="23">
                  <c:v>2022-12</c:v>
                </c:pt>
                <c:pt idx="24">
                  <c:v>2023-01</c:v>
                </c:pt>
                <c:pt idx="25">
                  <c:v>2023-02</c:v>
                </c:pt>
                <c:pt idx="26">
                  <c:v>2023-03</c:v>
                </c:pt>
                <c:pt idx="27">
                  <c:v>2023-04</c:v>
                </c:pt>
                <c:pt idx="28">
                  <c:v>2023-05</c:v>
                </c:pt>
                <c:pt idx="29">
                  <c:v>2023-06</c:v>
                </c:pt>
                <c:pt idx="30">
                  <c:v>2023-07</c:v>
                </c:pt>
                <c:pt idx="31">
                  <c:v>2023-08</c:v>
                </c:pt>
                <c:pt idx="32">
                  <c:v>2023-09</c:v>
                </c:pt>
                <c:pt idx="33">
                  <c:v>2023-10</c:v>
                </c:pt>
                <c:pt idx="34">
                  <c:v>2023-11</c:v>
                </c:pt>
                <c:pt idx="35">
                  <c:v>2023-12</c:v>
                </c:pt>
                <c:pt idx="36">
                  <c:v>2024-01</c:v>
                </c:pt>
                <c:pt idx="37">
                  <c:v>2024-02</c:v>
                </c:pt>
                <c:pt idx="38">
                  <c:v>2024-03</c:v>
                </c:pt>
                <c:pt idx="39">
                  <c:v>2024-04</c:v>
                </c:pt>
                <c:pt idx="40">
                  <c:v>2024-05</c:v>
                </c:pt>
                <c:pt idx="41">
                  <c:v>2024-06</c:v>
                </c:pt>
                <c:pt idx="42">
                  <c:v>2024-07</c:v>
                </c:pt>
                <c:pt idx="43">
                  <c:v>2024-08</c:v>
                </c:pt>
                <c:pt idx="44">
                  <c:v>2024-09</c:v>
                </c:pt>
                <c:pt idx="45">
                  <c:v>2024-10</c:v>
                </c:pt>
                <c:pt idx="46">
                  <c:v>2024-11</c:v>
                </c:pt>
                <c:pt idx="47">
                  <c:v>2024-12</c:v>
                </c:pt>
                <c:pt idx="48">
                  <c:v>2025-01</c:v>
                </c:pt>
                <c:pt idx="49">
                  <c:v>2025-02</c:v>
                </c:pt>
                <c:pt idx="50">
                  <c:v>2025-03</c:v>
                </c:pt>
                <c:pt idx="51">
                  <c:v>2025-04</c:v>
                </c:pt>
                <c:pt idx="52">
                  <c:v>2025-05</c:v>
                </c:pt>
                <c:pt idx="53">
                  <c:v>2025-06</c:v>
                </c:pt>
                <c:pt idx="54">
                  <c:v>2025-07</c:v>
                </c:pt>
                <c:pt idx="55">
                  <c:v>2025-08</c:v>
                </c:pt>
                <c:pt idx="56">
                  <c:v>2025-09</c:v>
                </c:pt>
                <c:pt idx="57">
                  <c:v>2025-10</c:v>
                </c:pt>
                <c:pt idx="58">
                  <c:v>2025-11</c:v>
                </c:pt>
                <c:pt idx="59">
                  <c:v>2025-12</c:v>
                </c:pt>
                <c:pt idx="60">
                  <c:v>2026-01</c:v>
                </c:pt>
                <c:pt idx="61">
                  <c:v>2026-02</c:v>
                </c:pt>
                <c:pt idx="62">
                  <c:v>2026-03</c:v>
                </c:pt>
                <c:pt idx="63">
                  <c:v>2026-04</c:v>
                </c:pt>
                <c:pt idx="64">
                  <c:v>2026-05</c:v>
                </c:pt>
                <c:pt idx="65">
                  <c:v>2026-06</c:v>
                </c:pt>
                <c:pt idx="66">
                  <c:v>2026-07</c:v>
                </c:pt>
                <c:pt idx="67">
                  <c:v>2026-08</c:v>
                </c:pt>
                <c:pt idx="68">
                  <c:v>2026-09</c:v>
                </c:pt>
              </c:strCache>
            </c:strRef>
          </c:cat>
          <c:val>
            <c:numRef>
              <c:f>Correlação!$Q$22:$Q$90</c:f>
              <c:numCache>
                <c:formatCode>0.0</c:formatCode>
                <c:ptCount val="69"/>
                <c:pt idx="0">
                  <c:v>100</c:v>
                </c:pt>
                <c:pt idx="1">
                  <c:v>99.2773935932211</c:v>
                </c:pt>
                <c:pt idx="2">
                  <c:v>102.449741052766</c:v>
                </c:pt>
                <c:pt idx="3">
                  <c:v>112.154192240398</c:v>
                </c:pt>
                <c:pt idx="4">
                  <c:v>118.388699551807</c:v>
                </c:pt>
                <c:pt idx="5">
                  <c:v>117.783129470857</c:v>
                </c:pt>
                <c:pt idx="6">
                  <c:v>120.373763302638</c:v>
                </c:pt>
                <c:pt idx="7">
                  <c:v>110.621823534313</c:v>
                </c:pt>
                <c:pt idx="8">
                  <c:v>92.9266134759511</c:v>
                </c:pt>
                <c:pt idx="9">
                  <c:v>81.4266114922099</c:v>
                </c:pt>
                <c:pt idx="10">
                  <c:v>71.1881300858167</c:v>
                </c:pt>
                <c:pt idx="11">
                  <c:v>81.1946354346443</c:v>
                </c:pt>
                <c:pt idx="12">
                  <c:v>87.9398318051913</c:v>
                </c:pt>
                <c:pt idx="13">
                  <c:v>93.5695836920599</c:v>
                </c:pt>
                <c:pt idx="14">
                  <c:v>101.816843694534</c:v>
                </c:pt>
                <c:pt idx="15">
                  <c:v>94.5671674952093</c:v>
                </c:pt>
                <c:pt idx="16">
                  <c:v>85.707400328724</c:v>
                </c:pt>
                <c:pt idx="17">
                  <c:v>86.0346731521781</c:v>
                </c:pt>
                <c:pt idx="18">
                  <c:v>75.4444836784382</c:v>
                </c:pt>
                <c:pt idx="19">
                  <c:v>72.0886880691074</c:v>
                </c:pt>
                <c:pt idx="20">
                  <c:v>71.5236058597072</c:v>
                </c:pt>
                <c:pt idx="21">
                  <c:v>76.516593995612</c:v>
                </c:pt>
                <c:pt idx="22">
                  <c:v>82.7901241425279</c:v>
                </c:pt>
                <c:pt idx="23">
                  <c:v>91.5998873234966</c:v>
                </c:pt>
                <c:pt idx="24">
                  <c:v>98.4435602168265</c:v>
                </c:pt>
                <c:pt idx="25">
                  <c:v>92.7219090115194</c:v>
                </c:pt>
                <c:pt idx="26">
                  <c:v>87.9294968007428</c:v>
                </c:pt>
                <c:pt idx="27">
                  <c:v>80.6293529344603</c:v>
                </c:pt>
                <c:pt idx="28">
                  <c:v>71.5302075101559</c:v>
                </c:pt>
                <c:pt idx="29">
                  <c:v>70.9617574360541</c:v>
                </c:pt>
                <c:pt idx="30">
                  <c:v>71.4421931185338</c:v>
                </c:pt>
                <c:pt idx="31">
                  <c:v>67.9365727195557</c:v>
                </c:pt>
                <c:pt idx="32">
                  <c:v>71.7073624573</c:v>
                </c:pt>
                <c:pt idx="33">
                  <c:v>69.7259924326884</c:v>
                </c:pt>
                <c:pt idx="34">
                  <c:v>77.0205237870414</c:v>
                </c:pt>
                <c:pt idx="35">
                  <c:v>78.5141777987614</c:v>
                </c:pt>
                <c:pt idx="36">
                  <c:v>75.1836385349314</c:v>
                </c:pt>
                <c:pt idx="37">
                  <c:v>70.2707806815341</c:v>
                </c:pt>
                <c:pt idx="38">
                  <c:v>66.1704668536674</c:v>
                </c:pt>
                <c:pt idx="39">
                  <c:v>65.6216846724248</c:v>
                </c:pt>
                <c:pt idx="40">
                  <c:v>68.2258872944018</c:v>
                </c:pt>
                <c:pt idx="41">
                  <c:v>64.3547365789985</c:v>
                </c:pt>
                <c:pt idx="42">
                  <c:v>65.5069726780179</c:v>
                </c:pt>
                <c:pt idx="43">
                  <c:v>60.9733460917953</c:v>
                </c:pt>
                <c:pt idx="44">
                  <c:v>61.9782132310252</c:v>
                </c:pt>
                <c:pt idx="45">
                  <c:v>65.1674251745736</c:v>
                </c:pt>
                <c:pt idx="46">
                  <c:v>62.4028661093676</c:v>
                </c:pt>
                <c:pt idx="47">
                  <c:v>59.6900602660594</c:v>
                </c:pt>
                <c:pt idx="48">
                  <c:v>55.859214243695</c:v>
                </c:pt>
                <c:pt idx="49">
                  <c:v>58.7803760379926</c:v>
                </c:pt>
                <c:pt idx="50">
                  <c:v>59.6056322381759</c:v>
                </c:pt>
                <c:pt idx="51">
                  <c:v>56.6195461993501</c:v>
                </c:pt>
                <c:pt idx="52">
                  <c:v>56.9552481197439</c:v>
                </c:pt>
                <c:pt idx="53">
                  <c:v>55.1130335768045</c:v>
                </c:pt>
                <c:pt idx="54">
                  <c:v>58.0993309271989</c:v>
                </c:pt>
                <c:pt idx="55">
                  <c:v>57.3773882591613</c:v>
                </c:pt>
                <c:pt idx="56">
                  <c:v>60.1549698669703</c:v>
                </c:pt>
                <c:pt idx="57">
                  <c:v>64.0203052305047</c:v>
                </c:pt>
                <c:pt idx="58">
                  <c:v>69.1132279834477</c:v>
                </c:pt>
                <c:pt idx="59">
                  <c:v>74.5673619018524</c:v>
                </c:pt>
                <c:pt idx="60">
                  <c:v>83.9531202266226</c:v>
                </c:pt>
                <c:pt idx="61">
                  <c:v>92.2622453041538</c:v>
                </c:pt>
                <c:pt idx="62">
                  <c:v>84.2471792101031</c:v>
                </c:pt>
                <c:pt idx="63">
                  <c:v>90.1686061043686</c:v>
                </c:pt>
                <c:pt idx="64">
                  <c:v>86.7856805621129</c:v>
                </c:pt>
                <c:pt idx="65">
                  <c:v>84.0933310586434</c:v>
                </c:pt>
                <c:pt idx="66">
                  <c:v>79.1673358199674</c:v>
                </c:pt>
                <c:pt idx="67">
                  <c:v>79.3342035344979</c:v>
                </c:pt>
                <c:pt idx="68">
                  <c:v>78.9326678542664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519026"/>
        <c:axId val="86150834"/>
      </c:lineChart>
      <c:catAx>
        <c:axId val="62519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50834"/>
        <c:crosses val="autoZero"/>
        <c:auto val="1"/>
        <c:lblAlgn val="ctr"/>
        <c:lblOffset val="100"/>
        <c:noMultiLvlLbl val="0"/>
      </c:catAx>
      <c:valAx>
        <c:axId val="86150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19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Cada ponto é um mês: variação do minério (horizontal) e da ação (vertical)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"Meses"</c:f>
              <c:strCache>
                <c:ptCount val="1"/>
                <c:pt idx="0">
                  <c:v>Meses</c:v>
                </c:pt>
              </c:strCache>
            </c:strRef>
          </c:tx>
          <c:spPr>
            <a:solidFill>
              <a:srgbClr val="2a78d6"/>
            </a:solidFill>
            <a:ln w="47520">
              <a:noFill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Correlação!$J$23:$J$90</c:f>
              <c:numCache>
                <c:formatCode>0.0%;[RED]\-0.0%</c:formatCode>
                <c:ptCount val="68"/>
                <c:pt idx="0">
                  <c:v>-0.0341981132075471</c:v>
                </c:pt>
                <c:pt idx="1">
                  <c:v>0.0268620268620268</c:v>
                </c:pt>
                <c:pt idx="2">
                  <c:v>0.0689655172413795</c:v>
                </c:pt>
                <c:pt idx="3">
                  <c:v>0.155172413793103</c:v>
                </c:pt>
                <c:pt idx="4">
                  <c:v>0.0322580645161292</c:v>
                </c:pt>
                <c:pt idx="5">
                  <c:v>-0.00139925373134331</c:v>
                </c:pt>
                <c:pt idx="6">
                  <c:v>-0.242410088743578</c:v>
                </c:pt>
                <c:pt idx="7">
                  <c:v>-0.232429099876695</c:v>
                </c:pt>
                <c:pt idx="8">
                  <c:v>-0.0128514056224899</c:v>
                </c:pt>
                <c:pt idx="9">
                  <c:v>-0.217249796582587</c:v>
                </c:pt>
                <c:pt idx="10">
                  <c:v>0.216216216216216</c:v>
                </c:pt>
                <c:pt idx="11">
                  <c:v>0.132478632478632</c:v>
                </c:pt>
                <c:pt idx="12">
                  <c:v>0.0777358490566038</c:v>
                </c:pt>
                <c:pt idx="13">
                  <c:v>0.0651260504201678</c:v>
                </c:pt>
                <c:pt idx="14">
                  <c:v>-0.00525969756738975</c:v>
                </c:pt>
                <c:pt idx="15">
                  <c:v>-0.132848645076008</c:v>
                </c:pt>
                <c:pt idx="16">
                  <c:v>-0.00381097560975607</c:v>
                </c:pt>
                <c:pt idx="17">
                  <c:v>-0.169089517980107</c:v>
                </c:pt>
                <c:pt idx="18">
                  <c:v>0.00276243093922668</c:v>
                </c:pt>
                <c:pt idx="19">
                  <c:v>-0.08356290174472</c:v>
                </c:pt>
                <c:pt idx="20">
                  <c:v>-0.0721442885771544</c:v>
                </c:pt>
                <c:pt idx="21">
                  <c:v>0.00755939524838012</c:v>
                </c:pt>
                <c:pt idx="22">
                  <c:v>0.198285101822079</c:v>
                </c:pt>
                <c:pt idx="23">
                  <c:v>0.0930232558139534</c:v>
                </c:pt>
                <c:pt idx="24">
                  <c:v>0.0441898527004909</c:v>
                </c:pt>
                <c:pt idx="25">
                  <c:v>0.00626959247648906</c:v>
                </c:pt>
                <c:pt idx="26">
                  <c:v>-0.0856697819314641</c:v>
                </c:pt>
                <c:pt idx="27">
                  <c:v>-0.103918228279387</c:v>
                </c:pt>
                <c:pt idx="28">
                  <c:v>0.0788973384030418</c:v>
                </c:pt>
                <c:pt idx="29">
                  <c:v>0.00792951541850218</c:v>
                </c:pt>
                <c:pt idx="30">
                  <c:v>-0.0367132867132868</c:v>
                </c:pt>
                <c:pt idx="31">
                  <c:v>0.0980036297640654</c:v>
                </c:pt>
                <c:pt idx="32">
                  <c:v>-0.0165289256198347</c:v>
                </c:pt>
                <c:pt idx="33">
                  <c:v>0.101680672268907</c:v>
                </c:pt>
                <c:pt idx="34">
                  <c:v>0.0457665903890161</c:v>
                </c:pt>
                <c:pt idx="35">
                  <c:v>-0.00948212983223917</c:v>
                </c:pt>
                <c:pt idx="36">
                  <c:v>-0.0839469808541974</c:v>
                </c:pt>
                <c:pt idx="37">
                  <c:v>-0.117363344051447</c:v>
                </c:pt>
                <c:pt idx="38">
                  <c:v>0.0273224043715847</c:v>
                </c:pt>
                <c:pt idx="39">
                  <c:v>0.0540780141843973</c:v>
                </c:pt>
                <c:pt idx="40">
                  <c:v>-0.095878889823381</c:v>
                </c:pt>
                <c:pt idx="41">
                  <c:v>-0.00558139534883717</c:v>
                </c:pt>
                <c:pt idx="42">
                  <c:v>-0.0654817586529467</c:v>
                </c:pt>
                <c:pt idx="43">
                  <c:v>-0.0710710710710711</c:v>
                </c:pt>
                <c:pt idx="44">
                  <c:v>0.0926724137931037</c:v>
                </c:pt>
                <c:pt idx="45">
                  <c:v>-0.00887573964497046</c:v>
                </c:pt>
                <c:pt idx="46">
                  <c:v>0.0169154228855721</c:v>
                </c:pt>
                <c:pt idx="47">
                  <c:v>-0.025440313111546</c:v>
                </c:pt>
                <c:pt idx="48">
                  <c:v>0.0552208835341366</c:v>
                </c:pt>
                <c:pt idx="49">
                  <c:v>-0.0475737392959087</c:v>
                </c:pt>
                <c:pt idx="50">
                  <c:v>-0.0289710289710289</c:v>
                </c:pt>
                <c:pt idx="51">
                  <c:v>-0.00205761316872433</c:v>
                </c:pt>
                <c:pt idx="52">
                  <c:v>-0.0484536082474227</c:v>
                </c:pt>
                <c:pt idx="53">
                  <c:v>0.0541711809317442</c:v>
                </c:pt>
                <c:pt idx="54">
                  <c:v>0.0246659815005139</c:v>
                </c:pt>
                <c:pt idx="55">
                  <c:v>0.0361083249749248</c:v>
                </c:pt>
                <c:pt idx="56">
                  <c:v>0.0019361084220717</c:v>
                </c:pt>
                <c:pt idx="57">
                  <c:v>-0.00966183574879231</c:v>
                </c:pt>
                <c:pt idx="58">
                  <c:v>0.0204878048780488</c:v>
                </c:pt>
                <c:pt idx="59">
                  <c:v>0.00860420650095617</c:v>
                </c:pt>
                <c:pt idx="60">
                  <c:v>-0.0635071090047393</c:v>
                </c:pt>
                <c:pt idx="61">
                  <c:v>0.0576923076923077</c:v>
                </c:pt>
                <c:pt idx="62">
                  <c:v>0.0153110047846889</c:v>
                </c:pt>
                <c:pt idx="63">
                  <c:v>0.0235626767200754</c:v>
                </c:pt>
                <c:pt idx="64">
                  <c:v>-0.0718232044198894</c:v>
                </c:pt>
                <c:pt idx="65">
                  <c:v>-0.0257936507936507</c:v>
                </c:pt>
                <c:pt idx="66">
                  <c:v>-0.0193482688391039</c:v>
                </c:pt>
                <c:pt idx="67">
                  <c:v>0.0145379023883698</c:v>
                </c:pt>
              </c:numCache>
            </c:numRef>
          </c:xVal>
          <c:yVal>
            <c:numRef>
              <c:f>Correlação!$O$23:$O$90</c:f>
              <c:numCache>
                <c:formatCode>0.0%;[RED]\-0.0%</c:formatCode>
                <c:ptCount val="68"/>
                <c:pt idx="0">
                  <c:v>-0.00722606406778925</c:v>
                </c:pt>
                <c:pt idx="1">
                  <c:v>0.0319543789852463</c:v>
                </c:pt>
                <c:pt idx="2">
                  <c:v>0.0947240187033089</c:v>
                </c:pt>
                <c:pt idx="3">
                  <c:v>0.0555887139559226</c:v>
                </c:pt>
                <c:pt idx="4">
                  <c:v>-0.00511510037057927</c:v>
                </c:pt>
                <c:pt idx="5">
                  <c:v>0.0219949482020037</c:v>
                </c:pt>
                <c:pt idx="6">
                  <c:v>-0.0810138314261024</c:v>
                </c:pt>
                <c:pt idx="7">
                  <c:v>-0.159961294191403</c:v>
                </c:pt>
                <c:pt idx="8">
                  <c:v>-0.12375358956471</c:v>
                </c:pt>
                <c:pt idx="9">
                  <c:v>-0.125738763025559</c:v>
                </c:pt>
                <c:pt idx="10">
                  <c:v>0.140564239245573</c:v>
                </c:pt>
                <c:pt idx="11">
                  <c:v>0.0830744092197615</c:v>
                </c:pt>
                <c:pt idx="12">
                  <c:v>0.0640182244075687</c:v>
                </c:pt>
                <c:pt idx="13">
                  <c:v>0.0881403943146335</c:v>
                </c:pt>
                <c:pt idx="14">
                  <c:v>-0.0712031127293142</c:v>
                </c:pt>
                <c:pt idx="15">
                  <c:v>-0.0936875598704394</c:v>
                </c:pt>
                <c:pt idx="16">
                  <c:v>0.00381848967765785</c:v>
                </c:pt>
                <c:pt idx="17">
                  <c:v>-0.123092110258942</c:v>
                </c:pt>
                <c:pt idx="18">
                  <c:v>-0.0444803310422804</c:v>
                </c:pt>
                <c:pt idx="19">
                  <c:v>-0.00783870846502921</c:v>
                </c:pt>
                <c:pt idx="20">
                  <c:v>0.0698089543429687</c:v>
                </c:pt>
                <c:pt idx="21">
                  <c:v>0.0819891453516037</c:v>
                </c:pt>
                <c:pt idx="22">
                  <c:v>0.10641079805367</c:v>
                </c:pt>
                <c:pt idx="23">
                  <c:v>0.0747126780752536</c:v>
                </c:pt>
                <c:pt idx="24">
                  <c:v>-0.0581211324814438</c:v>
                </c:pt>
                <c:pt idx="25">
                  <c:v>-0.0516858664998057</c:v>
                </c:pt>
                <c:pt idx="26">
                  <c:v>-0.0830226958175985</c:v>
                </c:pt>
                <c:pt idx="27">
                  <c:v>-0.112851524824969</c:v>
                </c:pt>
                <c:pt idx="28">
                  <c:v>-0.00794699321990711</c:v>
                </c:pt>
                <c:pt idx="29">
                  <c:v>0.00677034644910912</c:v>
                </c:pt>
                <c:pt idx="30">
                  <c:v>-0.0490693278852977</c:v>
                </c:pt>
                <c:pt idx="31">
                  <c:v>0.0555045623704065</c:v>
                </c:pt>
                <c:pt idx="32">
                  <c:v>-0.0276313331952694</c:v>
                </c:pt>
                <c:pt idx="33">
                  <c:v>0.104617103319038</c:v>
                </c:pt>
                <c:pt idx="34">
                  <c:v>0.0193929350032707</c:v>
                </c:pt>
                <c:pt idx="35">
                  <c:v>-0.0424195904129122</c:v>
                </c:pt>
                <c:pt idx="36">
                  <c:v>-0.0653447737982861</c:v>
                </c:pt>
                <c:pt idx="37">
                  <c:v>-0.0583501960288351</c:v>
                </c:pt>
                <c:pt idx="38">
                  <c:v>-0.00829346092503991</c:v>
                </c:pt>
                <c:pt idx="39">
                  <c:v>0.0396850924351728</c:v>
                </c:pt>
                <c:pt idx="40">
                  <c:v>-0.0567402032999412</c:v>
                </c:pt>
                <c:pt idx="41">
                  <c:v>0.0179044490005018</c:v>
                </c:pt>
                <c:pt idx="42">
                  <c:v>-0.069208305633455</c:v>
                </c:pt>
                <c:pt idx="43">
                  <c:v>0.0164804329045198</c:v>
                </c:pt>
                <c:pt idx="44">
                  <c:v>0.0514569842738208</c:v>
                </c:pt>
                <c:pt idx="45">
                  <c:v>-0.0424224074804258</c:v>
                </c:pt>
                <c:pt idx="46">
                  <c:v>-0.0434724558733211</c:v>
                </c:pt>
                <c:pt idx="47">
                  <c:v>-0.064178960538638</c:v>
                </c:pt>
                <c:pt idx="48">
                  <c:v>0.0522950749280779</c:v>
                </c:pt>
                <c:pt idx="49">
                  <c:v>0.0140396549972712</c:v>
                </c:pt>
                <c:pt idx="50">
                  <c:v>-0.0500973805108518</c:v>
                </c:pt>
                <c:pt idx="51">
                  <c:v>0.00592908179115081</c:v>
                </c:pt>
                <c:pt idx="52">
                  <c:v>-0.0323449480733767</c:v>
                </c:pt>
                <c:pt idx="53">
                  <c:v>0.0541849569255299</c:v>
                </c:pt>
                <c:pt idx="54">
                  <c:v>-0.0124260065738505</c:v>
                </c:pt>
                <c:pt idx="55">
                  <c:v>0.0484089933697107</c:v>
                </c:pt>
                <c:pt idx="56">
                  <c:v>0.0642562929061783</c:v>
                </c:pt>
                <c:pt idx="57">
                  <c:v>0.0795516787151505</c:v>
                </c:pt>
                <c:pt idx="58">
                  <c:v>0.0789159192464719</c:v>
                </c:pt>
                <c:pt idx="59">
                  <c:v>0.125869523681473</c:v>
                </c:pt>
                <c:pt idx="60">
                  <c:v>0.0989733919966478</c:v>
                </c:pt>
                <c:pt idx="61">
                  <c:v>-0.0868726537884276</c:v>
                </c:pt>
                <c:pt idx="62">
                  <c:v>0.0702863520153965</c:v>
                </c:pt>
                <c:pt idx="63">
                  <c:v>-0.037517775736047</c:v>
                </c:pt>
                <c:pt idx="64">
                  <c:v>-0.0310229692966761</c:v>
                </c:pt>
                <c:pt idx="65">
                  <c:v>-0.0585777156959187</c:v>
                </c:pt>
                <c:pt idx="66">
                  <c:v>0.00210778489388619</c:v>
                </c:pt>
                <c:pt idx="67">
                  <c:v>-0.00506131860335479</c:v>
                </c:pt>
              </c:numCache>
            </c:numRef>
          </c:yVal>
          <c:smooth val="1"/>
        </c:ser>
        <c:axId val="98891909"/>
        <c:axId val="50635579"/>
      </c:scatterChart>
      <c:valAx>
        <c:axId val="988919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-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35579"/>
        <c:crosses val="autoZero"/>
        <c:crossBetween val="midCat"/>
      </c:valAx>
      <c:valAx>
        <c:axId val="50635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-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9190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17</xdr:col>
      <xdr:colOff>507600</xdr:colOff>
      <xdr:row>19</xdr:row>
      <xdr:rowOff>142560</xdr:rowOff>
    </xdr:to>
    <xdr:graphicFrame>
      <xdr:nvGraphicFramePr>
        <xdr:cNvPr id="0" name="Chart 1"/>
        <xdr:cNvGraphicFramePr/>
      </xdr:nvGraphicFramePr>
      <xdr:xfrm>
        <a:off x="11466360" y="762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15</xdr:col>
      <xdr:colOff>621720</xdr:colOff>
      <xdr:row>17</xdr:row>
      <xdr:rowOff>172080</xdr:rowOff>
    </xdr:to>
    <xdr:graphicFrame>
      <xdr:nvGraphicFramePr>
        <xdr:cNvPr id="1" name="Chart 1"/>
        <xdr:cNvGraphicFramePr/>
      </xdr:nvGraphicFramePr>
      <xdr:xfrm>
        <a:off x="965628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1</xdr:row>
      <xdr:rowOff>160560</xdr:rowOff>
    </xdr:from>
    <xdr:to>
      <xdr:col>29</xdr:col>
      <xdr:colOff>4680</xdr:colOff>
      <xdr:row>17</xdr:row>
      <xdr:rowOff>172080</xdr:rowOff>
    </xdr:to>
    <xdr:graphicFrame>
      <xdr:nvGraphicFramePr>
        <xdr:cNvPr id="2" name="Chart 2"/>
        <xdr:cNvGraphicFramePr/>
      </xdr:nvGraphicFramePr>
      <xdr:xfrm>
        <a:off x="1820988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8" min="3" style="0" width="15"/>
    <col collapsed="false" customWidth="true" hidden="false" outlineLevel="0" max="24" min="24" style="0" width="22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false" outlineLevel="0" collapsed="false">
      <c r="X4" s="4" t="s">
        <v>3</v>
      </c>
    </row>
    <row r="5" customFormat="false" ht="15" hidden="false" customHeight="false" outlineLevel="0" collapsed="false">
      <c r="B5" s="4" t="s">
        <v>4</v>
      </c>
      <c r="D5" s="5" t="s">
        <v>5</v>
      </c>
      <c r="E5" s="6"/>
      <c r="F5" s="6"/>
      <c r="G5" s="2" t="s">
        <v>6</v>
      </c>
      <c r="X5" s="7" t="s">
        <v>5</v>
      </c>
      <c r="Y5" s="7" t="n">
        <f aca="false">MATCH($D$5,$X$5:$X$7,0)</f>
        <v>1</v>
      </c>
    </row>
    <row r="6" customFormat="false" ht="15" hidden="false" customHeight="false" outlineLevel="0" collapsed="false">
      <c r="B6" s="4" t="s">
        <v>7</v>
      </c>
      <c r="D6" s="5" t="s">
        <v>8</v>
      </c>
      <c r="E6" s="6"/>
      <c r="F6" s="6"/>
      <c r="G6" s="2" t="s">
        <v>6</v>
      </c>
      <c r="X6" s="7" t="s">
        <v>9</v>
      </c>
    </row>
    <row r="7" customFormat="false" ht="15" hidden="false" customHeight="false" outlineLevel="0" collapsed="false">
      <c r="X7" s="0" t="s">
        <v>10</v>
      </c>
    </row>
    <row r="9" customFormat="false" ht="15" hidden="false" customHeight="false" outlineLevel="0" collapsed="false">
      <c r="B9" s="8" t="s">
        <v>11</v>
      </c>
      <c r="C9" s="9" t="s">
        <v>12</v>
      </c>
      <c r="D9" s="9" t="s">
        <v>13</v>
      </c>
      <c r="E9" s="9" t="s">
        <v>8</v>
      </c>
      <c r="F9" s="9" t="s">
        <v>14</v>
      </c>
      <c r="G9" s="9" t="s">
        <v>15</v>
      </c>
      <c r="H9" s="9" t="s">
        <v>16</v>
      </c>
      <c r="X9" s="7" t="s">
        <v>13</v>
      </c>
      <c r="Y9" s="7" t="n">
        <f aca="false">MATCH($D$6,$X$9:$X$11,0)</f>
        <v>2</v>
      </c>
    </row>
    <row r="10" customFormat="false" ht="15" hidden="false" customHeight="false" outlineLevel="0" collapsed="false">
      <c r="B10" s="4" t="s">
        <v>17</v>
      </c>
      <c r="C10" s="10" t="n">
        <f aca="false">IF(ISNUMBER(G10),MIN(MAX(G10,MIN(D10:F10)),MAX(D10:F10)),CHOOSE(Painel!$Y$9,D10,E10,F10))</f>
        <v>0.0378</v>
      </c>
      <c r="D10" s="11" t="n">
        <f aca="false">Premissas!$D$7</f>
        <v>0</v>
      </c>
      <c r="E10" s="11" t="n">
        <f aca="false">Premissas!$E$7</f>
        <v>0.0378</v>
      </c>
      <c r="F10" s="11" t="n">
        <f aca="false">Premissas!$F$7</f>
        <v>0.0683</v>
      </c>
      <c r="G10" s="12"/>
      <c r="H10" s="11" t="n">
        <f aca="false">Premissas!$C$7</f>
        <v>0.0209</v>
      </c>
      <c r="X10" s="7" t="s">
        <v>8</v>
      </c>
    </row>
    <row r="11" customFormat="false" ht="15" hidden="false" customHeight="false" outlineLevel="0" collapsed="false">
      <c r="B11" s="4" t="s">
        <v>18</v>
      </c>
      <c r="C11" s="10" t="n">
        <f aca="false">IF(ISNUMBER(G11),MIN(MAX(G11,MIN(D11:F11)),MAX(D11:F11)),CHOOSE(Painel!$Y$9,D11,E11,F11))</f>
        <v>0.3936</v>
      </c>
      <c r="D11" s="11" t="n">
        <f aca="false">Premissas!$D$8</f>
        <v>0.3484</v>
      </c>
      <c r="E11" s="11" t="n">
        <f aca="false">Premissas!$E$8</f>
        <v>0.3936</v>
      </c>
      <c r="F11" s="11" t="n">
        <f aca="false">Premissas!$F$8</f>
        <v>0.4542</v>
      </c>
      <c r="G11" s="12"/>
      <c r="H11" s="11" t="n">
        <f aca="false">Premissas!$C$8</f>
        <v>0.3459</v>
      </c>
      <c r="X11" s="7" t="s">
        <v>14</v>
      </c>
    </row>
    <row r="12" customFormat="false" ht="15" hidden="false" customHeight="false" outlineLevel="0" collapsed="false">
      <c r="B12" s="4" t="s">
        <v>19</v>
      </c>
      <c r="C12" s="10" t="n">
        <f aca="false">IF(ISNUMBER(G12),MIN(MAX(G12,MIN(D12:F12)),MAX(D12:F12)),CHOOSE(Painel!$Y$9,D12,E12,F12))</f>
        <v>0.13117675075</v>
      </c>
      <c r="D12" s="11" t="n">
        <f aca="false">WACC!$D$19+Premissas!$D$9</f>
        <v>0.14677675075</v>
      </c>
      <c r="E12" s="11" t="n">
        <f aca="false">WACC!$D$19+Premissas!$E$9</f>
        <v>0.13117675075</v>
      </c>
      <c r="F12" s="11" t="n">
        <f aca="false">WACC!$D$19+Premissas!$F$9</f>
        <v>0.11557675075</v>
      </c>
      <c r="G12" s="12"/>
      <c r="H12" s="11" t="n">
        <f aca="false">WACC!$D$19</f>
        <v>0.13117675075</v>
      </c>
    </row>
    <row r="13" customFormat="false" ht="15" hidden="false" customHeight="false" outlineLevel="0" collapsed="false">
      <c r="B13" s="2" t="s">
        <v>20</v>
      </c>
    </row>
    <row r="15" customFormat="false" ht="15" hidden="false" customHeight="false" outlineLevel="0" collapsed="false">
      <c r="B15" s="13" t="s">
        <v>21</v>
      </c>
      <c r="C15" s="13" t="s">
        <v>22</v>
      </c>
      <c r="D15" s="13" t="s">
        <v>23</v>
      </c>
    </row>
    <row r="16" customFormat="false" ht="17.35" hidden="false" customHeight="false" outlineLevel="0" collapsed="false">
      <c r="B16" s="4" t="s">
        <v>24</v>
      </c>
      <c r="C16" s="14" t="n">
        <f aca="false">'Valor justo'!D29</f>
        <v>94.9446063076431</v>
      </c>
      <c r="D16" s="2" t="s">
        <v>25</v>
      </c>
    </row>
    <row r="17" customFormat="false" ht="15" hidden="false" customHeight="false" outlineLevel="0" collapsed="false">
      <c r="B17" s="15" t="s">
        <v>26</v>
      </c>
      <c r="C17" s="16" t="n">
        <f aca="false">'Valor justo'!D30</f>
        <v>67.64</v>
      </c>
      <c r="D17" s="2" t="s">
        <v>27</v>
      </c>
    </row>
    <row r="18" customFormat="false" ht="15" hidden="false" customHeight="false" outlineLevel="0" collapsed="false">
      <c r="B18" s="15" t="s">
        <v>28</v>
      </c>
      <c r="C18" s="11" t="n">
        <f aca="false">'Valor justo'!D31</f>
        <v>0.403675433288633</v>
      </c>
      <c r="D18" s="2" t="s">
        <v>29</v>
      </c>
    </row>
    <row r="19" customFormat="false" ht="15" hidden="false" customHeight="false" outlineLevel="0" collapsed="false">
      <c r="B19" s="15" t="s">
        <v>30</v>
      </c>
      <c r="C19" s="17" t="n">
        <f aca="false">'Valor justo'!D22</f>
        <v>432425.186610631</v>
      </c>
      <c r="D19" s="2" t="s">
        <v>31</v>
      </c>
    </row>
    <row r="20" customFormat="false" ht="15" hidden="false" customHeight="false" outlineLevel="0" collapsed="false">
      <c r="B20" s="15" t="s">
        <v>32</v>
      </c>
      <c r="C20" s="17" t="n">
        <f aca="false">'Valor justo'!D27</f>
        <v>386649.186610631</v>
      </c>
      <c r="D20" s="2" t="s">
        <v>33</v>
      </c>
    </row>
    <row r="21" customFormat="false" ht="15" hidden="false" customHeight="false" outlineLevel="0" collapsed="false">
      <c r="B21" s="15" t="s">
        <v>34</v>
      </c>
      <c r="C21" s="11" t="n">
        <f aca="false">'Valor justo'!D32</f>
        <v>0.756569234886324</v>
      </c>
      <c r="D21" s="2" t="s">
        <v>35</v>
      </c>
    </row>
    <row r="22" customFormat="false" ht="15" hidden="false" customHeight="false" outlineLevel="0" collapsed="false">
      <c r="B22" s="15" t="s">
        <v>36</v>
      </c>
      <c r="C22" s="16" t="n">
        <f aca="false">'Valor justo'!D43</f>
        <v>81.7012498309882</v>
      </c>
      <c r="D22" s="2" t="s">
        <v>37</v>
      </c>
    </row>
    <row r="24" customFormat="false" ht="15" hidden="false" customHeight="false" outlineLevel="0" collapsed="false">
      <c r="B24" s="13" t="s">
        <v>38</v>
      </c>
      <c r="C24" s="13" t="s">
        <v>22</v>
      </c>
      <c r="D24" s="13" t="s">
        <v>39</v>
      </c>
    </row>
    <row r="25" customFormat="false" ht="15" hidden="false" customHeight="false" outlineLevel="0" collapsed="false">
      <c r="B25" s="0" t="s">
        <v>40</v>
      </c>
      <c r="C25" s="17" t="n">
        <f aca="false">FCFF!E13</f>
        <v>27056.5532742396</v>
      </c>
      <c r="D25" s="2" t="s">
        <v>41</v>
      </c>
    </row>
    <row r="26" customFormat="false" ht="15" hidden="false" customHeight="false" outlineLevel="0" collapsed="false">
      <c r="B26" s="0" t="s">
        <v>42</v>
      </c>
      <c r="C26" s="18" t="n">
        <f aca="false">WACC!D22</f>
        <v>0.13117675075</v>
      </c>
      <c r="D26" s="2" t="s">
        <v>43</v>
      </c>
    </row>
    <row r="27" customFormat="false" ht="15" hidden="false" customHeight="false" outlineLevel="0" collapsed="false">
      <c r="B27" s="0" t="s">
        <v>44</v>
      </c>
      <c r="C27" s="17" t="n">
        <f aca="false">'Valor justo'!D21</f>
        <v>105265.59403105</v>
      </c>
      <c r="D27" s="2" t="s">
        <v>45</v>
      </c>
    </row>
    <row r="28" customFormat="false" ht="15" hidden="false" customHeight="false" outlineLevel="0" collapsed="false">
      <c r="B28" s="0" t="s">
        <v>46</v>
      </c>
      <c r="C28" s="17" t="n">
        <f aca="false">'Valor justo'!D18</f>
        <v>327159.592579581</v>
      </c>
      <c r="D28" s="2" t="s">
        <v>45</v>
      </c>
    </row>
    <row r="29" customFormat="false" ht="15" hidden="false" customHeight="false" outlineLevel="0" collapsed="false">
      <c r="B29" s="0" t="s">
        <v>47</v>
      </c>
      <c r="C29" s="17" t="n">
        <f aca="false">'Valor justo'!D22</f>
        <v>432425.186610631</v>
      </c>
      <c r="D29" s="2" t="s">
        <v>45</v>
      </c>
    </row>
    <row r="30" customFormat="false" ht="15" hidden="false" customHeight="false" outlineLevel="0" collapsed="false">
      <c r="B30" s="0" t="s">
        <v>48</v>
      </c>
      <c r="C30" s="17" t="n">
        <f aca="false">'Valor justo'!D27</f>
        <v>386649.186610631</v>
      </c>
      <c r="D30" s="2" t="s">
        <v>45</v>
      </c>
    </row>
    <row r="31" customFormat="false" ht="15" hidden="false" customHeight="false" outlineLevel="0" collapsed="false">
      <c r="B31" s="0" t="s">
        <v>49</v>
      </c>
      <c r="C31" s="16" t="n">
        <f aca="false">'Valor justo'!D29</f>
        <v>94.9446063076431</v>
      </c>
      <c r="D31" s="2" t="s">
        <v>50</v>
      </c>
    </row>
  </sheetData>
  <dataValidations count="5">
    <dataValidation allowBlank="false" errorStyle="stop" operator="between" showDropDown="false" showErrorMessage="false" showInputMessage="false" sqref="D5" type="list">
      <formula1>$X$5:$X$7</formula1>
      <formula2>0</formula2>
    </dataValidation>
    <dataValidation allowBlank="false" errorStyle="stop" operator="between" showDropDown="false" showErrorMessage="false" showInputMessage="false" sqref="D6" type="list">
      <formula1>$X$9:$X$11</formula1>
      <formula2>0</formula2>
    </dataValidation>
    <dataValidation allowBlank="true" error="Use um valor entre o pessimista e o otimista." errorStyle="stop" errorTitle="Fora da faixa" operator="between" showDropDown="false" showErrorMessage="true" showInputMessage="false" sqref="G10" type="decimal">
      <formula1>MIN($D$10:$F$10)</formula1>
      <formula2>MAX($D$10:$F$10)</formula2>
    </dataValidation>
    <dataValidation allowBlank="true" error="Use um valor entre o pessimista e o otimista." errorStyle="stop" errorTitle="Fora da faixa" operator="between" showDropDown="false" showErrorMessage="true" showInputMessage="false" sqref="G11" type="decimal">
      <formula1>MIN($D$11:$F$11)</formula1>
      <formula2>MAX($D$11:$F$11)</formula2>
    </dataValidation>
    <dataValidation allowBlank="true" error="Use um valor entre o pessimista e o otimista." errorStyle="stop" errorTitle="Fora da faixa" operator="between" showDropDown="false" showErrorMessage="true" showInputMessage="false" sqref="G12" type="decimal">
      <formula1>MIN($D$12:$F$12)</formula1>
      <formula2>MAX($D$12:$F$12)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6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B1" s="1" t="str">
        <f aca="false">"Como o preço justo é calculado - "&amp;Painel!$D$5</f>
        <v>Como o preço justo é calculado - Vale (VALE3)</v>
      </c>
    </row>
    <row r="2" customFormat="false" ht="15" hidden="false" customHeight="false" outlineLevel="0" collapsed="false">
      <c r="B2" s="2" t="s">
        <v>51</v>
      </c>
    </row>
    <row r="4" customFormat="false" ht="15" hidden="false" customHeight="false" outlineLevel="0" collapsed="false">
      <c r="B4" s="13" t="s">
        <v>52</v>
      </c>
      <c r="C4" s="19"/>
      <c r="D4" s="19"/>
    </row>
    <row r="5" customFormat="false" ht="48" hidden="false" customHeight="true" outlineLevel="0" collapsed="false">
      <c r="B5" s="20" t="s">
        <v>53</v>
      </c>
      <c r="C5" s="20"/>
      <c r="D5" s="20"/>
    </row>
    <row r="6" customFormat="false" ht="15" hidden="false" customHeight="false" outlineLevel="0" collapsed="false">
      <c r="B6" s="15" t="s">
        <v>54</v>
      </c>
      <c r="C6" s="17" t="n">
        <f aca="false">FCFF!E9</f>
        <v>43038.8267711844</v>
      </c>
    </row>
    <row r="7" customFormat="false" ht="15" hidden="false" customHeight="false" outlineLevel="0" collapsed="false">
      <c r="B7" s="15" t="s">
        <v>55</v>
      </c>
      <c r="C7" s="17" t="n">
        <f aca="false">FCFF!E10</f>
        <v>17336.0875516427</v>
      </c>
      <c r="D7" s="2" t="s">
        <v>56</v>
      </c>
    </row>
    <row r="8" customFormat="false" ht="15" hidden="false" customHeight="false" outlineLevel="0" collapsed="false">
      <c r="B8" s="15" t="s">
        <v>57</v>
      </c>
      <c r="C8" s="17" t="n">
        <f aca="false">FCFF!E11</f>
        <v>32791.1265920933</v>
      </c>
      <c r="D8" s="2" t="s">
        <v>58</v>
      </c>
    </row>
    <row r="9" customFormat="false" ht="15" hidden="false" customHeight="false" outlineLevel="0" collapsed="false">
      <c r="B9" s="15" t="s">
        <v>59</v>
      </c>
      <c r="C9" s="17" t="n">
        <f aca="false">FCFF!E12</f>
        <v>527.234456494167</v>
      </c>
      <c r="D9" s="2" t="s">
        <v>60</v>
      </c>
    </row>
    <row r="10" customFormat="false" ht="15" hidden="false" customHeight="false" outlineLevel="0" collapsed="false">
      <c r="B10" s="4" t="s">
        <v>61</v>
      </c>
      <c r="C10" s="21" t="n">
        <f aca="false">FCFF!E13</f>
        <v>27056.5532742396</v>
      </c>
      <c r="D10" s="2" t="s">
        <v>62</v>
      </c>
    </row>
    <row r="12" customFormat="false" ht="15" hidden="false" customHeight="false" outlineLevel="0" collapsed="false">
      <c r="B12" s="13" t="s">
        <v>63</v>
      </c>
      <c r="C12" s="19"/>
      <c r="D12" s="19"/>
    </row>
    <row r="13" customFormat="false" ht="48" hidden="false" customHeight="true" outlineLevel="0" collapsed="false">
      <c r="B13" s="20" t="s">
        <v>64</v>
      </c>
      <c r="C13" s="20"/>
      <c r="D13" s="20"/>
    </row>
    <row r="14" customFormat="false" ht="15" hidden="false" customHeight="false" outlineLevel="0" collapsed="false">
      <c r="B14" s="15" t="s">
        <v>65</v>
      </c>
      <c r="C14" s="18" t="n">
        <f aca="false">WACC!D5</f>
        <v>0.1291</v>
      </c>
    </row>
    <row r="15" customFormat="false" ht="15" hidden="false" customHeight="false" outlineLevel="0" collapsed="false">
      <c r="B15" s="15" t="s">
        <v>66</v>
      </c>
      <c r="C15" s="18" t="n">
        <f aca="false">WACC!D6*WACC!D7</f>
        <v>0.03197034</v>
      </c>
    </row>
    <row r="16" customFormat="false" ht="15" hidden="false" customHeight="false" outlineLevel="0" collapsed="false">
      <c r="B16" s="4" t="s">
        <v>67</v>
      </c>
      <c r="C16" s="22" t="n">
        <f aca="false">WACC!D9</f>
        <v>0.16107034</v>
      </c>
    </row>
    <row r="17" customFormat="false" ht="15" hidden="false" customHeight="false" outlineLevel="0" collapsed="false">
      <c r="B17" s="15" t="s">
        <v>68</v>
      </c>
      <c r="C17" s="18" t="n">
        <f aca="false">WACC!D14</f>
        <v>0.04719</v>
      </c>
    </row>
    <row r="18" customFormat="false" ht="15" hidden="false" customHeight="false" outlineLevel="0" collapsed="false">
      <c r="B18" s="15" t="s">
        <v>69</v>
      </c>
      <c r="C18" s="11" t="n">
        <f aca="false">WACC!D17</f>
        <v>0.2625</v>
      </c>
    </row>
    <row r="19" customFormat="false" ht="15" hidden="false" customHeight="false" outlineLevel="0" collapsed="false">
      <c r="B19" s="15" t="s">
        <v>70</v>
      </c>
      <c r="C19" s="18" t="n">
        <f aca="false">WACC!D19</f>
        <v>0.13117675075</v>
      </c>
    </row>
    <row r="20" customFormat="false" ht="15" hidden="false" customHeight="false" outlineLevel="0" collapsed="false">
      <c r="B20" s="4" t="s">
        <v>71</v>
      </c>
      <c r="C20" s="22" t="n">
        <f aca="false">WACC!D22</f>
        <v>0.13117675075</v>
      </c>
      <c r="D20" s="2" t="s">
        <v>72</v>
      </c>
    </row>
    <row r="22" customFormat="false" ht="15" hidden="false" customHeight="false" outlineLevel="0" collapsed="false">
      <c r="B22" s="13" t="s">
        <v>73</v>
      </c>
      <c r="C22" s="19"/>
      <c r="D22" s="19"/>
    </row>
    <row r="23" customFormat="false" ht="48" hidden="false" customHeight="true" outlineLevel="0" collapsed="false">
      <c r="B23" s="20" t="s">
        <v>74</v>
      </c>
      <c r="C23" s="20"/>
      <c r="D23" s="20"/>
    </row>
    <row r="24" customFormat="false" ht="15" hidden="false" customHeight="false" outlineLevel="0" collapsed="false">
      <c r="B24" s="15" t="s">
        <v>75</v>
      </c>
      <c r="C24" s="17" t="n">
        <f aca="false">'Valor justo'!E6</f>
        <v>27056.5532742396</v>
      </c>
    </row>
    <row r="25" customFormat="false" ht="15" hidden="false" customHeight="false" outlineLevel="0" collapsed="false">
      <c r="B25" s="15" t="s">
        <v>76</v>
      </c>
      <c r="C25" s="23" t="n">
        <f aca="false">'Valor justo'!E10</f>
        <v>0.883587455256839</v>
      </c>
      <c r="D25" s="2" t="s">
        <v>77</v>
      </c>
    </row>
    <row r="26" customFormat="false" ht="15" hidden="false" customHeight="false" outlineLevel="0" collapsed="false">
      <c r="B26" s="4" t="s">
        <v>78</v>
      </c>
      <c r="C26" s="21" t="n">
        <f aca="false">'Valor justo'!E11</f>
        <v>23906.8310556065</v>
      </c>
    </row>
    <row r="27" customFormat="false" ht="15" hidden="false" customHeight="false" outlineLevel="0" collapsed="false">
      <c r="B27" s="4" t="s">
        <v>79</v>
      </c>
      <c r="C27" s="21" t="n">
        <f aca="false">'Valor justo'!D21</f>
        <v>105265.59403105</v>
      </c>
    </row>
    <row r="29" customFormat="false" ht="15" hidden="false" customHeight="false" outlineLevel="0" collapsed="false">
      <c r="B29" s="13" t="s">
        <v>80</v>
      </c>
      <c r="C29" s="19"/>
      <c r="D29" s="19"/>
    </row>
    <row r="30" customFormat="false" ht="48" hidden="false" customHeight="true" outlineLevel="0" collapsed="false">
      <c r="B30" s="20" t="s">
        <v>81</v>
      </c>
      <c r="C30" s="20"/>
      <c r="D30" s="20"/>
    </row>
    <row r="31" customFormat="false" ht="15" hidden="false" customHeight="false" outlineLevel="0" collapsed="false">
      <c r="B31" s="15" t="s">
        <v>82</v>
      </c>
      <c r="C31" s="17" t="n">
        <f aca="false">'Valor justo'!D16</f>
        <v>52965.9193304327</v>
      </c>
    </row>
    <row r="32" customFormat="false" ht="15" hidden="false" customHeight="false" outlineLevel="0" collapsed="false">
      <c r="B32" s="15" t="s">
        <v>83</v>
      </c>
      <c r="C32" s="18" t="n">
        <f aca="false">'Valor justo'!D15</f>
        <v>0.035</v>
      </c>
      <c r="D32" s="2" t="s">
        <v>84</v>
      </c>
    </row>
    <row r="33" customFormat="false" ht="15" hidden="false" customHeight="false" outlineLevel="0" collapsed="false">
      <c r="B33" s="15" t="s">
        <v>85</v>
      </c>
      <c r="C33" s="17" t="n">
        <f aca="false">'Valor justo'!D17</f>
        <v>569989.379756602</v>
      </c>
    </row>
    <row r="34" customFormat="false" ht="15" hidden="false" customHeight="false" outlineLevel="0" collapsed="false">
      <c r="B34" s="4" t="s">
        <v>86</v>
      </c>
      <c r="C34" s="21" t="n">
        <f aca="false">'Valor justo'!D18</f>
        <v>327159.592579581</v>
      </c>
    </row>
    <row r="36" customFormat="false" ht="15" hidden="false" customHeight="false" outlineLevel="0" collapsed="false">
      <c r="B36" s="13" t="s">
        <v>87</v>
      </c>
      <c r="C36" s="19"/>
      <c r="D36" s="19"/>
    </row>
    <row r="37" customFormat="false" ht="48" hidden="false" customHeight="true" outlineLevel="0" collapsed="false">
      <c r="B37" s="20" t="s">
        <v>88</v>
      </c>
      <c r="C37" s="20"/>
      <c r="D37" s="20"/>
    </row>
    <row r="38" customFormat="false" ht="15" hidden="false" customHeight="false" outlineLevel="0" collapsed="false">
      <c r="B38" s="15" t="s">
        <v>89</v>
      </c>
      <c r="C38" s="17" t="n">
        <f aca="false">'Valor justo'!D21</f>
        <v>105265.59403105</v>
      </c>
    </row>
    <row r="39" customFormat="false" ht="15" hidden="false" customHeight="false" outlineLevel="0" collapsed="false">
      <c r="B39" s="15" t="s">
        <v>90</v>
      </c>
      <c r="C39" s="17" t="n">
        <f aca="false">'Valor justo'!D18</f>
        <v>327159.592579581</v>
      </c>
    </row>
    <row r="40" customFormat="false" ht="15" hidden="false" customHeight="false" outlineLevel="0" collapsed="false">
      <c r="B40" s="4" t="s">
        <v>91</v>
      </c>
      <c r="C40" s="21" t="n">
        <f aca="false">'Valor justo'!D22</f>
        <v>432425.186610631</v>
      </c>
    </row>
    <row r="42" customFormat="false" ht="15" hidden="false" customHeight="false" outlineLevel="0" collapsed="false">
      <c r="B42" s="13" t="s">
        <v>92</v>
      </c>
      <c r="C42" s="19"/>
      <c r="D42" s="19"/>
    </row>
    <row r="43" customFormat="false" ht="48" hidden="false" customHeight="true" outlineLevel="0" collapsed="false">
      <c r="B43" s="20" t="s">
        <v>93</v>
      </c>
      <c r="C43" s="20"/>
      <c r="D43" s="20"/>
    </row>
    <row r="44" customFormat="false" ht="15" hidden="false" customHeight="false" outlineLevel="0" collapsed="false">
      <c r="B44" s="15" t="s">
        <v>30</v>
      </c>
      <c r="C44" s="17" t="n">
        <f aca="false">'Valor justo'!D22</f>
        <v>432425.186610631</v>
      </c>
    </row>
    <row r="45" customFormat="false" ht="15" hidden="false" customHeight="false" outlineLevel="0" collapsed="false">
      <c r="B45" s="15" t="s">
        <v>94</v>
      </c>
      <c r="C45" s="17" t="n">
        <f aca="false">'Valor justo'!D23</f>
        <v>68192</v>
      </c>
      <c r="D45" s="2" t="s">
        <v>95</v>
      </c>
    </row>
    <row r="46" customFormat="false" ht="15" hidden="false" customHeight="false" outlineLevel="0" collapsed="false">
      <c r="B46" s="15" t="s">
        <v>96</v>
      </c>
      <c r="C46" s="17" t="n">
        <f aca="false">'Valor justo'!D24</f>
        <v>4832</v>
      </c>
      <c r="D46" s="2" t="s">
        <v>97</v>
      </c>
    </row>
    <row r="47" customFormat="false" ht="15" hidden="false" customHeight="false" outlineLevel="0" collapsed="false">
      <c r="B47" s="15" t="s">
        <v>98</v>
      </c>
      <c r="C47" s="17" t="n">
        <f aca="false">'Valor justo'!D25</f>
        <v>27248</v>
      </c>
      <c r="D47" s="2" t="s">
        <v>99</v>
      </c>
    </row>
    <row r="48" customFormat="false" ht="15" hidden="false" customHeight="false" outlineLevel="0" collapsed="false">
      <c r="B48" s="4" t="s">
        <v>100</v>
      </c>
      <c r="C48" s="21" t="n">
        <f aca="false">'Valor justo'!D27</f>
        <v>386649.186610631</v>
      </c>
    </row>
    <row r="50" customFormat="false" ht="15" hidden="false" customHeight="false" outlineLevel="0" collapsed="false">
      <c r="B50" s="13" t="s">
        <v>101</v>
      </c>
      <c r="C50" s="19"/>
      <c r="D50" s="19"/>
    </row>
    <row r="51" customFormat="false" ht="48" hidden="false" customHeight="true" outlineLevel="0" collapsed="false">
      <c r="B51" s="20" t="s">
        <v>102</v>
      </c>
      <c r="C51" s="20"/>
      <c r="D51" s="20"/>
    </row>
    <row r="52" customFormat="false" ht="15" hidden="false" customHeight="false" outlineLevel="0" collapsed="false">
      <c r="B52" s="15" t="s">
        <v>32</v>
      </c>
      <c r="C52" s="17" t="n">
        <f aca="false">'Valor justo'!D27</f>
        <v>386649.186610631</v>
      </c>
    </row>
    <row r="53" customFormat="false" ht="15" hidden="false" customHeight="false" outlineLevel="0" collapsed="false">
      <c r="B53" s="15" t="s">
        <v>103</v>
      </c>
      <c r="C53" s="24" t="n">
        <f aca="false">'Valor justo'!D28</f>
        <v>4072.366</v>
      </c>
    </row>
    <row r="54" customFormat="false" ht="15" hidden="false" customHeight="false" outlineLevel="0" collapsed="false">
      <c r="B54" s="4" t="s">
        <v>104</v>
      </c>
      <c r="C54" s="25" t="n">
        <f aca="false">'Valor justo'!D29</f>
        <v>94.9446063076431</v>
      </c>
    </row>
    <row r="55" customFormat="false" ht="15" hidden="false" customHeight="false" outlineLevel="0" collapsed="false">
      <c r="B55" s="15" t="s">
        <v>26</v>
      </c>
      <c r="C55" s="16" t="n">
        <f aca="false">'Valor justo'!D30</f>
        <v>67.64</v>
      </c>
    </row>
    <row r="56" customFormat="false" ht="15" hidden="false" customHeight="false" outlineLevel="0" collapsed="false">
      <c r="B56" s="15" t="s">
        <v>105</v>
      </c>
      <c r="C56" s="11" t="n">
        <f aca="false">'Valor justo'!D31</f>
        <v>0.403675433288633</v>
      </c>
      <c r="D56" s="2" t="s">
        <v>106</v>
      </c>
    </row>
  </sheetData>
  <mergeCells count="7">
    <mergeCell ref="B5:D5"/>
    <mergeCell ref="B13:D13"/>
    <mergeCell ref="B23:D23"/>
    <mergeCell ref="B30:D30"/>
    <mergeCell ref="B37:D37"/>
    <mergeCell ref="B43:D43"/>
    <mergeCell ref="B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11" min="3" style="0" width="13"/>
    <col collapsed="false" customWidth="true" hidden="false" outlineLevel="0" max="12" min="12" style="0" width="100"/>
  </cols>
  <sheetData>
    <row r="1" customFormat="false" ht="17.35" hidden="false" customHeight="false" outlineLevel="0" collapsed="false">
      <c r="B1" s="1" t="str">
        <f aca="false">"Demonstrativos - "&amp;Painel!$D$5</f>
        <v>Demonstrativos - Vale (VALE3)</v>
      </c>
    </row>
    <row r="2" customFormat="false" ht="15" hidden="false" customHeight="false" outlineLevel="0" collapsed="false">
      <c r="B2" s="2" t="s">
        <v>107</v>
      </c>
    </row>
    <row r="4" customFormat="false" ht="15" hidden="false" customHeight="false" outlineLevel="0" collapsed="false">
      <c r="B4" s="8" t="s">
        <v>108</v>
      </c>
      <c r="C4" s="9" t="s">
        <v>109</v>
      </c>
      <c r="D4" s="9" t="s">
        <v>110</v>
      </c>
      <c r="E4" s="9" t="s">
        <v>111</v>
      </c>
      <c r="F4" s="9" t="s">
        <v>112</v>
      </c>
      <c r="G4" s="9" t="s">
        <v>113</v>
      </c>
      <c r="H4" s="9" t="s">
        <v>114</v>
      </c>
      <c r="I4" s="9" t="s">
        <v>115</v>
      </c>
      <c r="J4" s="9" t="s">
        <v>116</v>
      </c>
      <c r="K4" s="9" t="s">
        <v>117</v>
      </c>
      <c r="L4" s="8" t="s">
        <v>23</v>
      </c>
    </row>
    <row r="5" customFormat="false" ht="15" hidden="false" customHeight="false" outlineLevel="0" collapsed="false">
      <c r="B5" s="26" t="s">
        <v>118</v>
      </c>
      <c r="C5" s="27"/>
      <c r="D5" s="27"/>
      <c r="E5" s="27"/>
      <c r="F5" s="27"/>
      <c r="G5" s="27"/>
      <c r="H5" s="27"/>
      <c r="I5" s="27"/>
      <c r="J5" s="27"/>
      <c r="K5" s="27"/>
    </row>
    <row r="6" customFormat="false" ht="15" hidden="false" customHeight="false" outlineLevel="0" collapsed="false">
      <c r="B6" s="15" t="s">
        <v>119</v>
      </c>
      <c r="C6" s="17" t="n">
        <f aca="false">INDEX(Dados!C$1:C$112,6+36*(Painel!$Y$5-1))</f>
        <v>134483.126</v>
      </c>
      <c r="D6" s="17" t="n">
        <f aca="false">INDEX(Dados!D$1:D$112,6+36*(Painel!$Y$5-1))</f>
        <v>148639.921</v>
      </c>
      <c r="E6" s="17" t="n">
        <f aca="false">INDEX(Dados!E$1:E$112,6+36*(Painel!$Y$5-1))</f>
        <v>208528.759</v>
      </c>
      <c r="F6" s="17" t="n">
        <f aca="false">INDEX(Dados!F$1:F$112,6+36*(Painel!$Y$5-1))</f>
        <v>293524</v>
      </c>
      <c r="G6" s="17" t="n">
        <f aca="false">INDEX(Dados!G$1:G$112,6+36*(Painel!$Y$5-1))</f>
        <v>226508</v>
      </c>
      <c r="H6" s="17" t="n">
        <f aca="false">INDEX(Dados!H$1:H$112,6+36*(Painel!$Y$5-1))</f>
        <v>208066</v>
      </c>
      <c r="I6" s="17" t="n">
        <f aca="false">INDEX(Dados!I$1:I$112,6+36*(Painel!$Y$5-1))</f>
        <v>206005</v>
      </c>
      <c r="J6" s="17" t="n">
        <f aca="false">INDEX(Dados!J$1:J$112,6+36*(Painel!$Y$5-1))</f>
        <v>213595</v>
      </c>
      <c r="K6" s="17" t="n">
        <f aca="false">INDEX(Dados!K$1:K$112,6+36*(Painel!$Y$5-1))</f>
        <v>218069</v>
      </c>
      <c r="L6" s="2" t="s">
        <v>120</v>
      </c>
    </row>
    <row r="7" customFormat="false" ht="15" hidden="false" customHeight="false" outlineLevel="0" collapsed="false">
      <c r="B7" s="15" t="s">
        <v>121</v>
      </c>
      <c r="C7" s="17" t="n">
        <f aca="false">INDEX(Dados!C$1:C$112,7+36*(Painel!$Y$5-1))</f>
        <v>-81200.904</v>
      </c>
      <c r="D7" s="17" t="n">
        <f aca="false">INDEX(Dados!D$1:D$112,7+36*(Painel!$Y$5-1))</f>
        <v>-83835.563</v>
      </c>
      <c r="E7" s="17" t="n">
        <f aca="false">INDEX(Dados!E$1:E$112,7+36*(Painel!$Y$5-1))</f>
        <v>-98567.494</v>
      </c>
      <c r="F7" s="17" t="n">
        <f aca="false">INDEX(Dados!F$1:F$112,7+36*(Painel!$Y$5-1))</f>
        <v>-117267</v>
      </c>
      <c r="G7" s="17" t="n">
        <f aca="false">INDEX(Dados!G$1:G$112,7+36*(Painel!$Y$5-1))</f>
        <v>-124195</v>
      </c>
      <c r="H7" s="17" t="n">
        <f aca="false">INDEX(Dados!H$1:H$112,7+36*(Painel!$Y$5-1))</f>
        <v>-120016</v>
      </c>
      <c r="I7" s="17" t="n">
        <f aca="false">INDEX(Dados!I$1:I$112,7+36*(Painel!$Y$5-1))</f>
        <v>-131318</v>
      </c>
      <c r="J7" s="17" t="n">
        <f aca="false">INDEX(Dados!J$1:J$112,7+36*(Painel!$Y$5-1))</f>
        <v>-138887</v>
      </c>
      <c r="K7" s="17" t="n">
        <f aca="false">INDEX(Dados!K$1:K$112,7+36*(Painel!$Y$5-1))</f>
        <v>-141911</v>
      </c>
      <c r="L7" s="2" t="s">
        <v>122</v>
      </c>
    </row>
    <row r="8" customFormat="false" ht="15" hidden="false" customHeight="false" outlineLevel="0" collapsed="false">
      <c r="B8" s="15" t="s">
        <v>123</v>
      </c>
      <c r="C8" s="17" t="n">
        <f aca="false">INDEX(Dados!C$1:C$112,8+36*(Painel!$Y$5-1))</f>
        <v>53282.222</v>
      </c>
      <c r="D8" s="17" t="n">
        <f aca="false">INDEX(Dados!D$1:D$112,8+36*(Painel!$Y$5-1))</f>
        <v>64804.358</v>
      </c>
      <c r="E8" s="17" t="n">
        <f aca="false">INDEX(Dados!E$1:E$112,8+36*(Painel!$Y$5-1))</f>
        <v>109961.265</v>
      </c>
      <c r="F8" s="17" t="n">
        <f aca="false">INDEX(Dados!F$1:F$112,8+36*(Painel!$Y$5-1))</f>
        <v>176257</v>
      </c>
      <c r="G8" s="17" t="n">
        <f aca="false">INDEX(Dados!G$1:G$112,8+36*(Painel!$Y$5-1))</f>
        <v>102313</v>
      </c>
      <c r="H8" s="17" t="n">
        <f aca="false">INDEX(Dados!H$1:H$112,8+36*(Painel!$Y$5-1))</f>
        <v>88050</v>
      </c>
      <c r="I8" s="17" t="n">
        <f aca="false">INDEX(Dados!I$1:I$112,8+36*(Painel!$Y$5-1))</f>
        <v>74687</v>
      </c>
      <c r="J8" s="17" t="n">
        <f aca="false">INDEX(Dados!J$1:J$112,8+36*(Painel!$Y$5-1))</f>
        <v>74708</v>
      </c>
      <c r="K8" s="17" t="n">
        <f aca="false">INDEX(Dados!K$1:K$112,8+36*(Painel!$Y$5-1))</f>
        <v>76158</v>
      </c>
      <c r="L8" s="2" t="s">
        <v>124</v>
      </c>
    </row>
    <row r="9" customFormat="false" ht="15" hidden="false" customHeight="false" outlineLevel="0" collapsed="false">
      <c r="B9" s="15" t="s">
        <v>125</v>
      </c>
      <c r="C9" s="17" t="n">
        <f aca="false">INDEX(Dados!C$1:C$112,9+36*(Painel!$Y$5-1))</f>
        <v>0</v>
      </c>
      <c r="D9" s="17" t="n">
        <f aca="false">INDEX(Dados!D$1:D$112,9+36*(Painel!$Y$5-1))</f>
        <v>0</v>
      </c>
      <c r="E9" s="17" t="n">
        <f aca="false">INDEX(Dados!E$1:E$112,9+36*(Painel!$Y$5-1))</f>
        <v>0</v>
      </c>
      <c r="F9" s="17" t="n">
        <f aca="false">INDEX(Dados!F$1:F$112,9+36*(Painel!$Y$5-1))</f>
        <v>0</v>
      </c>
      <c r="G9" s="17" t="n">
        <f aca="false">INDEX(Dados!G$1:G$112,9+36*(Painel!$Y$5-1))</f>
        <v>0</v>
      </c>
      <c r="H9" s="17" t="n">
        <f aca="false">INDEX(Dados!H$1:H$112,9+36*(Painel!$Y$5-1))</f>
        <v>0</v>
      </c>
      <c r="I9" s="17" t="n">
        <f aca="false">INDEX(Dados!I$1:I$112,9+36*(Painel!$Y$5-1))</f>
        <v>0</v>
      </c>
      <c r="J9" s="17" t="n">
        <f aca="false">INDEX(Dados!J$1:J$112,9+36*(Painel!$Y$5-1))</f>
        <v>0</v>
      </c>
      <c r="K9" s="17" t="n">
        <f aca="false">INDEX(Dados!K$1:K$112,9+36*(Painel!$Y$5-1))</f>
        <v>0</v>
      </c>
      <c r="L9" s="2" t="s">
        <v>126</v>
      </c>
    </row>
    <row r="10" customFormat="false" ht="15" hidden="false" customHeight="false" outlineLevel="0" collapsed="false">
      <c r="B10" s="15" t="s">
        <v>127</v>
      </c>
      <c r="C10" s="17" t="n">
        <f aca="false">INDEX(Dados!C$1:C$112,10+36*(Painel!$Y$5-1))</f>
        <v>-1916.765</v>
      </c>
      <c r="D10" s="17" t="n">
        <f aca="false">INDEX(Dados!D$1:D$112,10+36*(Painel!$Y$5-1))</f>
        <v>-1924.308</v>
      </c>
      <c r="E10" s="17" t="n">
        <f aca="false">INDEX(Dados!E$1:E$112,10+36*(Painel!$Y$5-1))</f>
        <v>-2856.913</v>
      </c>
      <c r="F10" s="17" t="n">
        <f aca="false">INDEX(Dados!F$1:F$112,10+36*(Painel!$Y$5-1))</f>
        <v>-2601</v>
      </c>
      <c r="G10" s="17" t="n">
        <f aca="false">INDEX(Dados!G$1:G$112,10+36*(Painel!$Y$5-1))</f>
        <v>-2658</v>
      </c>
      <c r="H10" s="17" t="n">
        <f aca="false">INDEX(Dados!H$1:H$112,10+36*(Painel!$Y$5-1))</f>
        <v>-2758</v>
      </c>
      <c r="I10" s="17" t="n">
        <f aca="false">INDEX(Dados!I$1:I$112,10+36*(Painel!$Y$5-1))</f>
        <v>-3397</v>
      </c>
      <c r="J10" s="17" t="n">
        <f aca="false">INDEX(Dados!J$1:J$112,10+36*(Painel!$Y$5-1))</f>
        <v>-3566</v>
      </c>
      <c r="K10" s="17" t="n">
        <f aca="false">INDEX(Dados!K$1:K$112,10+36*(Painel!$Y$5-1))</f>
        <v>-3667</v>
      </c>
      <c r="L10" s="2" t="s">
        <v>128</v>
      </c>
    </row>
    <row r="11" customFormat="false" ht="15" hidden="false" customHeight="false" outlineLevel="0" collapsed="false">
      <c r="B11" s="15" t="s">
        <v>129</v>
      </c>
      <c r="C11" s="17" t="n">
        <f aca="false">INDEX(Dados!C$1:C$112,11+36*(Painel!$Y$5-1))</f>
        <v>-3523.458</v>
      </c>
      <c r="D11" s="17" t="n">
        <f aca="false">INDEX(Dados!D$1:D$112,11+36*(Painel!$Y$5-1))</f>
        <v>-20762.371</v>
      </c>
      <c r="E11" s="17" t="n">
        <f aca="false">INDEX(Dados!E$1:E$112,11+36*(Painel!$Y$5-1))</f>
        <v>-11818.792</v>
      </c>
      <c r="F11" s="17" t="n">
        <f aca="false">INDEX(Dados!F$1:F$112,11+36*(Painel!$Y$5-1))</f>
        <v>-2352</v>
      </c>
      <c r="G11" s="17" t="n">
        <f aca="false">INDEX(Dados!G$1:G$112,11+36*(Painel!$Y$5-1))</f>
        <v>3833</v>
      </c>
      <c r="H11" s="17" t="n">
        <f aca="false">INDEX(Dados!H$1:H$112,11+36*(Painel!$Y$5-1))</f>
        <v>-1317</v>
      </c>
      <c r="I11" s="17" t="n">
        <f aca="false">INDEX(Dados!I$1:I$112,11+36*(Painel!$Y$5-1))</f>
        <v>510</v>
      </c>
      <c r="J11" s="17" t="n">
        <f aca="false">INDEX(Dados!J$1:J$112,11+36*(Painel!$Y$5-1))</f>
        <v>-25147</v>
      </c>
      <c r="K11" s="17" t="n">
        <f aca="false">INDEX(Dados!K$1:K$112,11+36*(Painel!$Y$5-1))</f>
        <v>-23490</v>
      </c>
      <c r="L11" s="2" t="s">
        <v>130</v>
      </c>
    </row>
    <row r="12" customFormat="false" ht="15" hidden="false" customHeight="false" outlineLevel="0" collapsed="false">
      <c r="B12" s="15" t="s">
        <v>131</v>
      </c>
      <c r="C12" s="17" t="n">
        <f aca="false">INDEX(Dados!C$1:C$112,12+36*(Painel!$Y$5-1))</f>
        <v>-10106.478</v>
      </c>
      <c r="D12" s="17" t="n">
        <f aca="false">INDEX(Dados!D$1:D$112,12+36*(Painel!$Y$5-1))</f>
        <v>-62564.583</v>
      </c>
      <c r="E12" s="17" t="n">
        <f aca="false">INDEX(Dados!E$1:E$112,12+36*(Painel!$Y$5-1))</f>
        <v>-57893.647</v>
      </c>
      <c r="F12" s="17" t="n">
        <f aca="false">INDEX(Dados!F$1:F$112,12+36*(Painel!$Y$5-1))</f>
        <v>-34922</v>
      </c>
      <c r="G12" s="17" t="n">
        <f aca="false">INDEX(Dados!G$1:G$112,12+36*(Painel!$Y$5-1))</f>
        <v>-11987</v>
      </c>
      <c r="H12" s="17" t="n">
        <f aca="false">INDEX(Dados!H$1:H$112,12+36*(Painel!$Y$5-1))</f>
        <v>-22778</v>
      </c>
      <c r="I12" s="17" t="n">
        <f aca="false">INDEX(Dados!I$1:I$112,12+36*(Painel!$Y$5-1))</f>
        <v>-19228</v>
      </c>
      <c r="J12" s="17" t="n">
        <f aca="false">INDEX(Dados!J$1:J$112,12+36*(Painel!$Y$5-1))</f>
        <v>-42739</v>
      </c>
      <c r="K12" s="17" t="n">
        <f aca="false">INDEX(Dados!K$1:K$112,12+36*(Painel!$Y$5-1))</f>
        <v>-42048</v>
      </c>
      <c r="L12" s="2" t="s">
        <v>132</v>
      </c>
    </row>
    <row r="13" customFormat="false" ht="15" hidden="false" customHeight="false" outlineLevel="0" collapsed="false">
      <c r="B13" s="15" t="s">
        <v>133</v>
      </c>
      <c r="C13" s="17" t="n">
        <f aca="false">INDEX(Dados!C$1:C$112,13+36*(Painel!$Y$5-1))</f>
        <v>-693.486</v>
      </c>
      <c r="D13" s="17" t="n">
        <f aca="false">INDEX(Dados!D$1:D$112,13+36*(Painel!$Y$5-1))</f>
        <v>-2683.903</v>
      </c>
      <c r="E13" s="17" t="n">
        <f aca="false">INDEX(Dados!E$1:E$112,13+36*(Painel!$Y$5-1))</f>
        <v>-5435.93</v>
      </c>
      <c r="F13" s="17" t="n">
        <f aca="false">INDEX(Dados!F$1:F$112,13+36*(Painel!$Y$5-1))</f>
        <v>-6947</v>
      </c>
      <c r="G13" s="17" t="n">
        <f aca="false">INDEX(Dados!G$1:G$112,13+36*(Painel!$Y$5-1))</f>
        <v>1616</v>
      </c>
      <c r="H13" s="17" t="n">
        <f aca="false">INDEX(Dados!H$1:H$112,13+36*(Painel!$Y$5-1))</f>
        <v>-5434</v>
      </c>
      <c r="I13" s="17" t="n">
        <f aca="false">INDEX(Dados!I$1:I$112,13+36*(Painel!$Y$5-1))</f>
        <v>-1570</v>
      </c>
      <c r="J13" s="17" t="n">
        <f aca="false">INDEX(Dados!J$1:J$112,13+36*(Painel!$Y$5-1))</f>
        <v>-1170</v>
      </c>
      <c r="K13" s="17" t="n">
        <f aca="false">INDEX(Dados!K$1:K$112,13+36*(Painel!$Y$5-1))</f>
        <v>-453</v>
      </c>
      <c r="L13" s="2" t="s">
        <v>134</v>
      </c>
    </row>
    <row r="14" customFormat="false" ht="15" hidden="false" customHeight="false" outlineLevel="0" collapsed="false">
      <c r="B14" s="15" t="s">
        <v>135</v>
      </c>
      <c r="C14" s="17" t="n">
        <f aca="false">INDEX(Dados!C$1:C$112,14+36*(Painel!$Y$5-1))</f>
        <v>43175.744</v>
      </c>
      <c r="D14" s="17" t="n">
        <f aca="false">INDEX(Dados!D$1:D$112,14+36*(Painel!$Y$5-1))</f>
        <v>2239.775</v>
      </c>
      <c r="E14" s="17" t="n">
        <f aca="false">INDEX(Dados!E$1:E$112,14+36*(Painel!$Y$5-1))</f>
        <v>52067.618</v>
      </c>
      <c r="F14" s="17" t="n">
        <f aca="false">INDEX(Dados!F$1:F$112,14+36*(Painel!$Y$5-1))</f>
        <v>141335</v>
      </c>
      <c r="G14" s="17" t="n">
        <f aca="false">INDEX(Dados!G$1:G$112,14+36*(Painel!$Y$5-1))</f>
        <v>90326</v>
      </c>
      <c r="H14" s="17" t="n">
        <f aca="false">INDEX(Dados!H$1:H$112,14+36*(Painel!$Y$5-1))</f>
        <v>65272</v>
      </c>
      <c r="I14" s="17" t="n">
        <f aca="false">INDEX(Dados!I$1:I$112,14+36*(Painel!$Y$5-1))</f>
        <v>55459</v>
      </c>
      <c r="J14" s="17" t="n">
        <f aca="false">INDEX(Dados!J$1:J$112,14+36*(Painel!$Y$5-1))</f>
        <v>31969</v>
      </c>
      <c r="K14" s="17" t="n">
        <f aca="false">INDEX(Dados!K$1:K$112,14+36*(Painel!$Y$5-1))</f>
        <v>34110</v>
      </c>
      <c r="L14" s="2" t="s">
        <v>136</v>
      </c>
    </row>
    <row r="15" customFormat="false" ht="15" hidden="false" customHeight="false" outlineLevel="0" collapsed="false">
      <c r="B15" s="15" t="s">
        <v>137</v>
      </c>
      <c r="C15" s="17" t="n">
        <f aca="false">INDEX(Dados!C$1:C$112,15+36*(Painel!$Y$5-1))</f>
        <v>-18057.519</v>
      </c>
      <c r="D15" s="17" t="n">
        <f aca="false">INDEX(Dados!D$1:D$112,15+36*(Painel!$Y$5-1))</f>
        <v>-13444.786</v>
      </c>
      <c r="E15" s="17" t="n">
        <f aca="false">INDEX(Dados!E$1:E$112,15+36*(Painel!$Y$5-1))</f>
        <v>-24140.63</v>
      </c>
      <c r="F15" s="17" t="n">
        <f aca="false">INDEX(Dados!F$1:F$112,15+36*(Painel!$Y$5-1))</f>
        <v>17812</v>
      </c>
      <c r="G15" s="17" t="n">
        <f aca="false">INDEX(Dados!G$1:G$112,15+36*(Painel!$Y$5-1))</f>
        <v>11378</v>
      </c>
      <c r="H15" s="17" t="n">
        <f aca="false">INDEX(Dados!H$1:H$112,15+36*(Painel!$Y$5-1))</f>
        <v>-9718</v>
      </c>
      <c r="I15" s="17" t="n">
        <f aca="false">INDEX(Dados!I$1:I$112,15+36*(Painel!$Y$5-1))</f>
        <v>-21235</v>
      </c>
      <c r="J15" s="17" t="n">
        <f aca="false">INDEX(Dados!J$1:J$112,15+36*(Painel!$Y$5-1))</f>
        <v>-5276</v>
      </c>
      <c r="K15" s="17" t="n">
        <f aca="false">INDEX(Dados!K$1:K$112,15+36*(Painel!$Y$5-1))</f>
        <v>-9699</v>
      </c>
      <c r="L15" s="2" t="s">
        <v>138</v>
      </c>
    </row>
    <row r="16" customFormat="false" ht="15" hidden="false" customHeight="false" outlineLevel="0" collapsed="false">
      <c r="B16" s="15" t="s">
        <v>139</v>
      </c>
      <c r="C16" s="17" t="n">
        <f aca="false">INDEX(Dados!C$1:C$112,16+36*(Painel!$Y$5-1))</f>
        <v>25118.225</v>
      </c>
      <c r="D16" s="17" t="n">
        <f aca="false">INDEX(Dados!D$1:D$112,16+36*(Painel!$Y$5-1))</f>
        <v>-11205.011</v>
      </c>
      <c r="E16" s="17" t="n">
        <f aca="false">INDEX(Dados!E$1:E$112,16+36*(Painel!$Y$5-1))</f>
        <v>27926.988</v>
      </c>
      <c r="F16" s="17" t="n">
        <f aca="false">INDEX(Dados!F$1:F$112,16+36*(Painel!$Y$5-1))</f>
        <v>159147</v>
      </c>
      <c r="G16" s="17" t="n">
        <f aca="false">INDEX(Dados!G$1:G$112,16+36*(Painel!$Y$5-1))</f>
        <v>101704</v>
      </c>
      <c r="H16" s="17" t="n">
        <f aca="false">INDEX(Dados!H$1:H$112,16+36*(Painel!$Y$5-1))</f>
        <v>55554</v>
      </c>
      <c r="I16" s="17" t="n">
        <f aca="false">INDEX(Dados!I$1:I$112,16+36*(Painel!$Y$5-1))</f>
        <v>34224</v>
      </c>
      <c r="J16" s="17" t="n">
        <f aca="false">INDEX(Dados!J$1:J$112,16+36*(Painel!$Y$5-1))</f>
        <v>26693</v>
      </c>
      <c r="K16" s="17" t="n">
        <f aca="false">INDEX(Dados!K$1:K$112,16+36*(Painel!$Y$5-1))</f>
        <v>24411</v>
      </c>
      <c r="L16" s="2" t="s">
        <v>140</v>
      </c>
    </row>
    <row r="17" customFormat="false" ht="15" hidden="false" customHeight="false" outlineLevel="0" collapsed="false">
      <c r="B17" s="15" t="s">
        <v>141</v>
      </c>
      <c r="C17" s="17" t="n">
        <f aca="false">INDEX(Dados!C$1:C$112,17+36*(Painel!$Y$5-1))</f>
        <v>965.98</v>
      </c>
      <c r="D17" s="17" t="n">
        <f aca="false">INDEX(Dados!D$1:D$112,17+36*(Painel!$Y$5-1))</f>
        <v>2508.971</v>
      </c>
      <c r="E17" s="17" t="n">
        <f aca="false">INDEX(Dados!E$1:E$112,17+36*(Painel!$Y$5-1))</f>
        <v>-3024.647</v>
      </c>
      <c r="F17" s="17" t="n">
        <f aca="false">INDEX(Dados!F$1:F$112,17+36*(Painel!$Y$5-1))</f>
        <v>-25320</v>
      </c>
      <c r="G17" s="17" t="n">
        <f aca="false">INDEX(Dados!G$1:G$112,17+36*(Painel!$Y$5-1))</f>
        <v>-15185</v>
      </c>
      <c r="H17" s="17" t="n">
        <f aca="false">INDEX(Dados!H$1:H$112,17+36*(Painel!$Y$5-1))</f>
        <v>-15000</v>
      </c>
      <c r="I17" s="17" t="n">
        <f aca="false">INDEX(Dados!I$1:I$112,17+36*(Painel!$Y$5-1))</f>
        <v>-3793</v>
      </c>
      <c r="J17" s="17" t="n">
        <f aca="false">INDEX(Dados!J$1:J$112,17+36*(Painel!$Y$5-1))</f>
        <v>-14882</v>
      </c>
      <c r="K17" s="17" t="n">
        <f aca="false">INDEX(Dados!K$1:K$112,17+36*(Painel!$Y$5-1))</f>
        <v>-15720</v>
      </c>
      <c r="L17" s="2" t="s">
        <v>142</v>
      </c>
    </row>
    <row r="18" customFormat="false" ht="15" hidden="false" customHeight="false" outlineLevel="0" collapsed="false">
      <c r="B18" s="15" t="s">
        <v>143</v>
      </c>
      <c r="C18" s="17" t="n">
        <f aca="false">INDEX(Dados!C$1:C$112,18+36*(Painel!$Y$5-1))</f>
        <v>25773.768</v>
      </c>
      <c r="D18" s="17" t="n">
        <f aca="false">INDEX(Dados!D$1:D$112,18+36*(Painel!$Y$5-1))</f>
        <v>-8696.04</v>
      </c>
      <c r="E18" s="17" t="n">
        <f aca="false">INDEX(Dados!E$1:E$112,18+36*(Painel!$Y$5-1))</f>
        <v>24902.341</v>
      </c>
      <c r="F18" s="17" t="n">
        <f aca="false">INDEX(Dados!F$1:F$112,18+36*(Painel!$Y$5-1))</f>
        <v>121343</v>
      </c>
      <c r="G18" s="17" t="n">
        <f aca="false">INDEX(Dados!G$1:G$112,18+36*(Painel!$Y$5-1))</f>
        <v>96337</v>
      </c>
      <c r="H18" s="17" t="n">
        <f aca="false">INDEX(Dados!H$1:H$112,18+36*(Painel!$Y$5-1))</f>
        <v>40554</v>
      </c>
      <c r="I18" s="17" t="n">
        <f aca="false">INDEX(Dados!I$1:I$112,18+36*(Painel!$Y$5-1))</f>
        <v>30431</v>
      </c>
      <c r="J18" s="17" t="n">
        <f aca="false">INDEX(Dados!J$1:J$112,18+36*(Painel!$Y$5-1))</f>
        <v>11811</v>
      </c>
      <c r="K18" s="17" t="n">
        <f aca="false">INDEX(Dados!K$1:K$112,18+36*(Painel!$Y$5-1))</f>
        <v>8691</v>
      </c>
      <c r="L18" s="2" t="s">
        <v>144</v>
      </c>
    </row>
    <row r="19" customFormat="false" ht="15" hidden="false" customHeight="false" outlineLevel="0" collapsed="false">
      <c r="B19" s="15" t="s">
        <v>145</v>
      </c>
      <c r="C19" s="17" t="n">
        <f aca="false">INDEX(Dados!C$1:C$112,19+36*(Painel!$Y$5-1))</f>
        <v>25656.526</v>
      </c>
      <c r="D19" s="17" t="n">
        <f aca="false">INDEX(Dados!D$1:D$112,19+36*(Painel!$Y$5-1))</f>
        <v>-6671.445</v>
      </c>
      <c r="E19" s="17" t="n">
        <f aca="false">INDEX(Dados!E$1:E$112,19+36*(Painel!$Y$5-1))</f>
        <v>26712.713</v>
      </c>
      <c r="F19" s="17" t="n">
        <f aca="false">INDEX(Dados!F$1:F$112,19+36*(Painel!$Y$5-1))</f>
        <v>121228</v>
      </c>
      <c r="G19" s="17" t="n">
        <f aca="false">INDEX(Dados!G$1:G$112,19+36*(Painel!$Y$5-1))</f>
        <v>95924</v>
      </c>
      <c r="H19" s="17" t="n">
        <f aca="false">INDEX(Dados!H$1:H$112,19+36*(Painel!$Y$5-1))</f>
        <v>39940</v>
      </c>
      <c r="I19" s="17" t="n">
        <f aca="false">INDEX(Dados!I$1:I$112,19+36*(Painel!$Y$5-1))</f>
        <v>31592</v>
      </c>
      <c r="J19" s="17" t="n">
        <f aca="false">INDEX(Dados!J$1:J$112,19+36*(Painel!$Y$5-1))</f>
        <v>13814</v>
      </c>
      <c r="K19" s="17" t="n">
        <f aca="false">INDEX(Dados!K$1:K$112,19+36*(Painel!$Y$5-1))</f>
        <v>10369</v>
      </c>
      <c r="L19" s="2" t="s">
        <v>146</v>
      </c>
    </row>
    <row r="20" customFormat="false" ht="15" hidden="false" customHeight="false" outlineLevel="0" collapsed="false">
      <c r="B20" s="26" t="s">
        <v>147</v>
      </c>
      <c r="C20" s="27"/>
      <c r="D20" s="27"/>
      <c r="E20" s="27"/>
      <c r="F20" s="27"/>
      <c r="G20" s="27"/>
      <c r="H20" s="27"/>
      <c r="I20" s="27"/>
      <c r="J20" s="27"/>
      <c r="K20" s="27"/>
    </row>
    <row r="21" customFormat="false" ht="15" hidden="false" customHeight="false" outlineLevel="0" collapsed="false">
      <c r="B21" s="15" t="s">
        <v>148</v>
      </c>
      <c r="C21" s="17" t="n">
        <f aca="false">INDEX(Dados!C$1:C$112,20+36*(Painel!$Y$5-1))</f>
        <v>12238.935</v>
      </c>
      <c r="D21" s="17" t="n">
        <f aca="false">INDEX(Dados!D$1:D$112,20+36*(Painel!$Y$5-1))</f>
        <v>14750.733</v>
      </c>
      <c r="E21" s="17" t="n">
        <f aca="false">INDEX(Dados!E$1:E$112,20+36*(Painel!$Y$5-1))</f>
        <v>16679.216</v>
      </c>
      <c r="F21" s="17" t="n">
        <f aca="false">INDEX(Dados!F$1:F$112,20+36*(Painel!$Y$5-1))</f>
        <v>16379</v>
      </c>
      <c r="G21" s="17" t="n">
        <f aca="false">INDEX(Dados!G$1:G$112,20+36*(Painel!$Y$5-1))</f>
        <v>16386</v>
      </c>
      <c r="H21" s="17" t="n">
        <f aca="false">INDEX(Dados!H$1:H$112,20+36*(Painel!$Y$5-1))</f>
        <v>15300</v>
      </c>
      <c r="I21" s="17" t="n">
        <f aca="false">INDEX(Dados!I$1:I$112,20+36*(Painel!$Y$5-1))</f>
        <v>16525</v>
      </c>
      <c r="J21" s="17" t="n">
        <f aca="false">INDEX(Dados!J$1:J$112,20+36*(Painel!$Y$5-1))</f>
        <v>17306</v>
      </c>
      <c r="K21" s="17" t="n">
        <f aca="false">INDEX(Dados!K$1:K$112,20+36*(Painel!$Y$5-1))</f>
        <v>17823</v>
      </c>
      <c r="L21" s="2" t="s">
        <v>149</v>
      </c>
    </row>
    <row r="22" customFormat="false" ht="15" hidden="false" customHeight="false" outlineLevel="0" collapsed="false">
      <c r="B22" s="15" t="s">
        <v>150</v>
      </c>
      <c r="C22" s="17" t="n">
        <f aca="false">INDEX(Dados!C$1:C$112,21+36*(Painel!$Y$5-1))</f>
        <v>47930.771</v>
      </c>
      <c r="D22" s="17" t="n">
        <f aca="false">INDEX(Dados!D$1:D$112,21+36*(Painel!$Y$5-1))</f>
        <v>47283.755</v>
      </c>
      <c r="E22" s="17" t="n">
        <f aca="false">INDEX(Dados!E$1:E$112,21+36*(Painel!$Y$5-1))</f>
        <v>75207.873</v>
      </c>
      <c r="F22" s="17" t="n">
        <f aca="false">INDEX(Dados!F$1:F$112,21+36*(Painel!$Y$5-1))</f>
        <v>136766</v>
      </c>
      <c r="G22" s="17" t="n">
        <f aca="false">INDEX(Dados!G$1:G$112,21+36*(Painel!$Y$5-1))</f>
        <v>58201</v>
      </c>
      <c r="H22" s="17" t="n">
        <f aca="false">INDEX(Dados!H$1:H$112,21+36*(Painel!$Y$5-1))</f>
        <v>65905</v>
      </c>
      <c r="I22" s="17" t="n">
        <f aca="false">INDEX(Dados!I$1:I$112,21+36*(Painel!$Y$5-1))</f>
        <v>50199</v>
      </c>
      <c r="J22" s="17" t="n">
        <f aca="false">INDEX(Dados!J$1:J$112,21+36*(Painel!$Y$5-1))</f>
        <v>48765</v>
      </c>
      <c r="K22" s="17" t="n">
        <f aca="false">INDEX(Dados!K$1:K$112,21+36*(Painel!$Y$5-1))</f>
        <v>50599</v>
      </c>
      <c r="L22" s="2" t="s">
        <v>151</v>
      </c>
    </row>
    <row r="23" customFormat="false" ht="15" hidden="false" customHeight="false" outlineLevel="0" collapsed="false">
      <c r="B23" s="15" t="s">
        <v>152</v>
      </c>
      <c r="C23" s="17" t="n">
        <f aca="false">INDEX(Dados!C$1:C$112,22+36*(Painel!$Y$5-1))</f>
        <v>13978.533</v>
      </c>
      <c r="D23" s="17" t="n">
        <f aca="false">INDEX(Dados!D$1:D$112,22+36*(Painel!$Y$5-1))</f>
        <v>14773.97</v>
      </c>
      <c r="E23" s="17" t="n">
        <f aca="false">INDEX(Dados!E$1:E$112,22+36*(Painel!$Y$5-1))</f>
        <v>22725.636</v>
      </c>
      <c r="F23" s="17" t="n">
        <f aca="false">INDEX(Dados!F$1:F$112,22+36*(Painel!$Y$5-1))</f>
        <v>27301</v>
      </c>
      <c r="G23" s="17" t="n">
        <f aca="false">INDEX(Dados!G$1:G$112,22+36*(Painel!$Y$5-1))</f>
        <v>28184</v>
      </c>
      <c r="H23" s="17" t="n">
        <f aca="false">INDEX(Dados!H$1:H$112,22+36*(Painel!$Y$5-1))</f>
        <v>29446</v>
      </c>
      <c r="I23" s="17" t="n">
        <f aca="false">INDEX(Dados!I$1:I$112,22+36*(Painel!$Y$5-1))</f>
        <v>35098</v>
      </c>
      <c r="J23" s="17" t="n">
        <f aca="false">INDEX(Dados!J$1:J$112,22+36*(Painel!$Y$5-1))</f>
        <v>33390</v>
      </c>
      <c r="K23" s="17" t="n">
        <f aca="false">INDEX(Dados!K$1:K$112,22+36*(Painel!$Y$5-1))</f>
        <v>31848</v>
      </c>
      <c r="L23" s="2" t="s">
        <v>153</v>
      </c>
    </row>
    <row r="24" customFormat="false" ht="15" hidden="false" customHeight="false" outlineLevel="0" collapsed="false">
      <c r="B24" s="15" t="s">
        <v>154</v>
      </c>
      <c r="C24" s="17" t="n">
        <f aca="false">INDEX(Dados!C$1:C$112,23+36*(Painel!$Y$5-1))</f>
        <v>13050.573</v>
      </c>
      <c r="D24" s="17" t="n">
        <f aca="false">INDEX(Dados!D$1:D$112,23+36*(Painel!$Y$5-1))</f>
        <v>695.071</v>
      </c>
      <c r="E24" s="17" t="n">
        <f aca="false">INDEX(Dados!E$1:E$112,23+36*(Painel!$Y$5-1))</f>
        <v>18708.953</v>
      </c>
      <c r="F24" s="17" t="n">
        <f aca="false">INDEX(Dados!F$1:F$112,23+36*(Painel!$Y$5-1))</f>
        <v>73287</v>
      </c>
      <c r="G24" s="17" t="n">
        <f aca="false">INDEX(Dados!G$1:G$112,23+36*(Painel!$Y$5-1))</f>
        <v>34157</v>
      </c>
      <c r="H24" s="17" t="n">
        <f aca="false">INDEX(Dados!H$1:H$112,23+36*(Painel!$Y$5-1))</f>
        <v>27967</v>
      </c>
      <c r="I24" s="17" t="n">
        <f aca="false">INDEX(Dados!I$1:I$112,23+36*(Painel!$Y$5-1))</f>
        <v>20663</v>
      </c>
      <c r="J24" s="17" t="n">
        <f aca="false">INDEX(Dados!J$1:J$112,23+36*(Painel!$Y$5-1))</f>
        <v>19971</v>
      </c>
      <c r="K24" s="17" t="n">
        <f aca="false">INDEX(Dados!K$1:K$112,23+36*(Painel!$Y$5-1))</f>
        <v>23071</v>
      </c>
      <c r="L24" s="2" t="s">
        <v>155</v>
      </c>
    </row>
    <row r="25" customFormat="false" ht="15" hidden="false" customHeight="false" outlineLevel="0" collapsed="false">
      <c r="B25" s="26" t="s">
        <v>156</v>
      </c>
      <c r="C25" s="27"/>
      <c r="D25" s="27"/>
      <c r="E25" s="27"/>
      <c r="F25" s="27"/>
      <c r="G25" s="27"/>
      <c r="H25" s="27"/>
      <c r="I25" s="27"/>
      <c r="J25" s="27"/>
      <c r="K25" s="27"/>
    </row>
    <row r="26" customFormat="false" ht="15" hidden="false" customHeight="false" outlineLevel="0" collapsed="false">
      <c r="B26" s="15" t="s">
        <v>157</v>
      </c>
      <c r="C26" s="17" t="n">
        <f aca="false">INDEX(Dados!C$1:C$112,24+36*(Painel!$Y$5-1))</f>
        <v>22412.547</v>
      </c>
      <c r="D26" s="17" t="n">
        <f aca="false">INDEX(Dados!D$1:D$112,24+36*(Painel!$Y$5-1))</f>
        <v>29627.092</v>
      </c>
      <c r="E26" s="17" t="n">
        <f aca="false">INDEX(Dados!E$1:E$112,24+36*(Painel!$Y$5-1))</f>
        <v>70085.566</v>
      </c>
      <c r="F26" s="17" t="n">
        <f aca="false">INDEX(Dados!F$1:F$112,24+36*(Painel!$Y$5-1))</f>
        <v>65409</v>
      </c>
      <c r="G26" s="17" t="n">
        <f aca="false">INDEX(Dados!G$1:G$112,24+36*(Painel!$Y$5-1))</f>
        <v>24711</v>
      </c>
      <c r="H26" s="17" t="n">
        <f aca="false">INDEX(Dados!H$1:H$112,24+36*(Painel!$Y$5-1))</f>
        <v>17474</v>
      </c>
      <c r="I26" s="17" t="n">
        <f aca="false">INDEX(Dados!I$1:I$112,24+36*(Painel!$Y$5-1))</f>
        <v>30671</v>
      </c>
      <c r="J26" s="17" t="n">
        <f aca="false">INDEX(Dados!J$1:J$112,24+36*(Painel!$Y$5-1))</f>
        <v>40563</v>
      </c>
      <c r="K26" s="17" t="n">
        <f aca="false">INDEX(Dados!K$1:K$112,24+36*(Painel!$Y$5-1))</f>
        <v>28871</v>
      </c>
      <c r="L26" s="2" t="s">
        <v>158</v>
      </c>
    </row>
    <row r="27" customFormat="false" ht="15" hidden="false" customHeight="false" outlineLevel="0" collapsed="false">
      <c r="B27" s="15" t="s">
        <v>159</v>
      </c>
      <c r="C27" s="17" t="n">
        <f aca="false">INDEX(Dados!C$1:C$112,25+36*(Painel!$Y$5-1))</f>
        <v>0</v>
      </c>
      <c r="D27" s="17" t="n">
        <f aca="false">INDEX(Dados!D$1:D$112,25+36*(Painel!$Y$5-1))</f>
        <v>0</v>
      </c>
      <c r="E27" s="17" t="n">
        <f aca="false">INDEX(Dados!E$1:E$112,25+36*(Painel!$Y$5-1))</f>
        <v>0</v>
      </c>
      <c r="F27" s="17" t="n">
        <f aca="false">INDEX(Dados!F$1:F$112,25+36*(Painel!$Y$5-1))</f>
        <v>1028</v>
      </c>
      <c r="G27" s="17" t="n">
        <f aca="false">INDEX(Dados!G$1:G$112,25+36*(Painel!$Y$5-1))</f>
        <v>320</v>
      </c>
      <c r="H27" s="17" t="n">
        <f aca="false">INDEX(Dados!H$1:H$112,25+36*(Painel!$Y$5-1))</f>
        <v>250</v>
      </c>
      <c r="I27" s="17" t="n">
        <f aca="false">INDEX(Dados!I$1:I$112,25+36*(Painel!$Y$5-1))</f>
        <v>331</v>
      </c>
      <c r="J27" s="17" t="n">
        <f aca="false">INDEX(Dados!J$1:J$112,25+36*(Painel!$Y$5-1))</f>
        <v>1066</v>
      </c>
      <c r="K27" s="17" t="n">
        <f aca="false">INDEX(Dados!K$1:K$112,25+36*(Painel!$Y$5-1))</f>
        <v>971</v>
      </c>
      <c r="L27" s="2" t="s">
        <v>160</v>
      </c>
    </row>
    <row r="28" customFormat="false" ht="15" hidden="false" customHeight="false" outlineLevel="0" collapsed="false">
      <c r="B28" s="15" t="s">
        <v>161</v>
      </c>
      <c r="C28" s="17" t="n">
        <f aca="false">INDEX(Dados!C$1:C$112,26+36*(Painel!$Y$5-1))</f>
        <v>11669.973</v>
      </c>
      <c r="D28" s="17" t="n">
        <f aca="false">INDEX(Dados!D$1:D$112,26+36*(Painel!$Y$5-1))</f>
        <v>11483.278</v>
      </c>
      <c r="E28" s="17" t="n">
        <f aca="false">INDEX(Dados!E$1:E$112,26+36*(Painel!$Y$5-1))</f>
        <v>27233.885</v>
      </c>
      <c r="F28" s="17" t="n">
        <f aca="false">INDEX(Dados!F$1:F$112,26+36*(Painel!$Y$5-1))</f>
        <v>21840</v>
      </c>
      <c r="G28" s="17" t="n">
        <f aca="false">INDEX(Dados!G$1:G$112,26+36*(Painel!$Y$5-1))</f>
        <v>22537</v>
      </c>
      <c r="H28" s="17" t="n">
        <f aca="false">INDEX(Dados!H$1:H$112,26+36*(Painel!$Y$5-1))</f>
        <v>20317</v>
      </c>
      <c r="I28" s="17" t="n">
        <f aca="false">INDEX(Dados!I$1:I$112,26+36*(Painel!$Y$5-1))</f>
        <v>14600</v>
      </c>
      <c r="J28" s="17" t="n">
        <f aca="false">INDEX(Dados!J$1:J$112,26+36*(Painel!$Y$5-1))</f>
        <v>12639</v>
      </c>
      <c r="K28" s="17" t="n">
        <f aca="false">INDEX(Dados!K$1:K$112,26+36*(Painel!$Y$5-1))</f>
        <v>13534</v>
      </c>
      <c r="L28" s="2" t="s">
        <v>162</v>
      </c>
    </row>
    <row r="29" customFormat="false" ht="15" hidden="false" customHeight="false" outlineLevel="0" collapsed="false">
      <c r="B29" s="15" t="s">
        <v>163</v>
      </c>
      <c r="C29" s="17" t="n">
        <f aca="false">INDEX(Dados!C$1:C$112,27+36*(Painel!$Y$5-1))</f>
        <v>17215.947</v>
      </c>
      <c r="D29" s="17" t="n">
        <f aca="false">INDEX(Dados!D$1:D$112,27+36*(Painel!$Y$5-1))</f>
        <v>17228.428</v>
      </c>
      <c r="E29" s="17" t="n">
        <f aca="false">INDEX(Dados!E$1:E$112,27+36*(Painel!$Y$5-1))</f>
        <v>21102.768</v>
      </c>
      <c r="F29" s="17" t="n">
        <f aca="false">INDEX(Dados!F$1:F$112,27+36*(Painel!$Y$5-1))</f>
        <v>24429</v>
      </c>
      <c r="G29" s="17" t="n">
        <f aca="false">INDEX(Dados!G$1:G$112,27+36*(Painel!$Y$5-1))</f>
        <v>23386</v>
      </c>
      <c r="H29" s="17" t="n">
        <f aca="false">INDEX(Dados!H$1:H$112,27+36*(Painel!$Y$5-1))</f>
        <v>22679</v>
      </c>
      <c r="I29" s="17" t="n">
        <f aca="false">INDEX(Dados!I$1:I$112,27+36*(Painel!$Y$5-1))</f>
        <v>28513</v>
      </c>
      <c r="J29" s="17" t="n">
        <f aca="false">INDEX(Dados!J$1:J$112,27+36*(Painel!$Y$5-1))</f>
        <v>32666</v>
      </c>
      <c r="K29" s="17" t="n">
        <f aca="false">INDEX(Dados!K$1:K$112,27+36*(Painel!$Y$5-1))</f>
        <v>32424</v>
      </c>
      <c r="L29" s="2" t="s">
        <v>164</v>
      </c>
    </row>
    <row r="30" customFormat="false" ht="15" hidden="false" customHeight="false" outlineLevel="0" collapsed="false">
      <c r="B30" s="15" t="s">
        <v>165</v>
      </c>
      <c r="C30" s="17" t="n">
        <f aca="false">INDEX(Dados!C$1:C$112,28+36*(Painel!$Y$5-1))</f>
        <v>59256.115</v>
      </c>
      <c r="D30" s="17" t="n">
        <f aca="false">INDEX(Dados!D$1:D$112,28+36*(Painel!$Y$5-1))</f>
        <v>68697.547</v>
      </c>
      <c r="E30" s="17" t="n">
        <f aca="false">INDEX(Dados!E$1:E$112,28+36*(Painel!$Y$5-1))</f>
        <v>126805.173</v>
      </c>
      <c r="F30" s="17" t="n">
        <f aca="false">INDEX(Dados!F$1:F$112,28+36*(Painel!$Y$5-1))</f>
        <v>124800</v>
      </c>
      <c r="G30" s="17" t="n">
        <f aca="false">INDEX(Dados!G$1:G$112,28+36*(Painel!$Y$5-1))</f>
        <v>81009</v>
      </c>
      <c r="H30" s="17" t="n">
        <f aca="false">INDEX(Dados!H$1:H$112,28+36*(Painel!$Y$5-1))</f>
        <v>90529</v>
      </c>
      <c r="I30" s="17" t="n">
        <f aca="false">INDEX(Dados!I$1:I$112,28+36*(Painel!$Y$5-1))</f>
        <v>83476</v>
      </c>
      <c r="J30" s="17" t="n">
        <f aca="false">INDEX(Dados!J$1:J$112,28+36*(Painel!$Y$5-1))</f>
        <v>100645</v>
      </c>
      <c r="K30" s="17" t="n">
        <f aca="false">INDEX(Dados!K$1:K$112,28+36*(Painel!$Y$5-1))</f>
        <v>91411</v>
      </c>
      <c r="L30" s="2" t="s">
        <v>166</v>
      </c>
    </row>
    <row r="31" customFormat="false" ht="15" hidden="false" customHeight="false" outlineLevel="0" collapsed="false">
      <c r="B31" s="15" t="s">
        <v>167</v>
      </c>
      <c r="C31" s="17" t="n">
        <f aca="false">INDEX(Dados!C$1:C$112,29+36*(Painel!$Y$5-1))</f>
        <v>12495.002</v>
      </c>
      <c r="D31" s="17" t="n">
        <f aca="false">INDEX(Dados!D$1:D$112,29+36*(Painel!$Y$5-1))</f>
        <v>11277.871</v>
      </c>
      <c r="E31" s="17" t="n">
        <f aca="false">INDEX(Dados!E$1:E$112,29+36*(Painel!$Y$5-1))</f>
        <v>10556.64</v>
      </c>
      <c r="F31" s="17" t="n">
        <f aca="false">INDEX(Dados!F$1:F$112,29+36*(Painel!$Y$5-1))</f>
        <v>9771</v>
      </c>
      <c r="G31" s="17" t="n">
        <f aca="false">INDEX(Dados!G$1:G$112,29+36*(Painel!$Y$5-1))</f>
        <v>9381</v>
      </c>
      <c r="H31" s="17" t="n">
        <f aca="false">INDEX(Dados!H$1:H$112,29+36*(Painel!$Y$5-1))</f>
        <v>9061</v>
      </c>
      <c r="I31" s="17" t="n">
        <f aca="false">INDEX(Dados!I$1:I$112,29+36*(Painel!$Y$5-1))</f>
        <v>28158</v>
      </c>
      <c r="J31" s="17" t="n">
        <f aca="false">INDEX(Dados!J$1:J$112,29+36*(Painel!$Y$5-1))</f>
        <v>27674</v>
      </c>
      <c r="K31" s="17" t="n">
        <f aca="false">INDEX(Dados!K$1:K$112,29+36*(Painel!$Y$5-1))</f>
        <v>27248</v>
      </c>
      <c r="L31" s="2" t="s">
        <v>168</v>
      </c>
    </row>
    <row r="32" customFormat="false" ht="15" hidden="false" customHeight="false" outlineLevel="0" collapsed="false">
      <c r="B32" s="15" t="s">
        <v>169</v>
      </c>
      <c r="C32" s="17" t="n">
        <f aca="false">INDEX(Dados!C$1:C$112,30+36*(Painel!$Y$5-1))</f>
        <v>187481.499</v>
      </c>
      <c r="D32" s="17" t="n">
        <f aca="false">INDEX(Dados!D$1:D$112,30+36*(Painel!$Y$5-1))</f>
        <v>187733.155</v>
      </c>
      <c r="E32" s="17" t="n">
        <f aca="false">INDEX(Dados!E$1:E$112,30+36*(Painel!$Y$5-1))</f>
        <v>213835.752</v>
      </c>
      <c r="F32" s="17" t="n">
        <f aca="false">INDEX(Dados!F$1:F$112,30+36*(Painel!$Y$5-1))</f>
        <v>233995</v>
      </c>
      <c r="G32" s="17" t="n">
        <f aca="false">INDEX(Dados!G$1:G$112,30+36*(Painel!$Y$5-1))</f>
        <v>234472</v>
      </c>
      <c r="H32" s="17" t="n">
        <f aca="false">INDEX(Dados!H$1:H$112,30+36*(Painel!$Y$5-1))</f>
        <v>234302</v>
      </c>
      <c r="I32" s="17" t="n">
        <f aca="false">INDEX(Dados!I$1:I$112,30+36*(Painel!$Y$5-1))</f>
        <v>247594</v>
      </c>
      <c r="J32" s="17" t="n">
        <f aca="false">INDEX(Dados!J$1:J$112,30+36*(Painel!$Y$5-1))</f>
        <v>240040</v>
      </c>
      <c r="K32" s="17" t="n">
        <f aca="false">INDEX(Dados!K$1:K$112,30+36*(Painel!$Y$5-1))</f>
        <v>240188</v>
      </c>
      <c r="L32" s="2" t="s">
        <v>170</v>
      </c>
    </row>
    <row r="33" customFormat="false" ht="15" hidden="false" customHeight="false" outlineLevel="0" collapsed="false">
      <c r="B33" s="15" t="s">
        <v>171</v>
      </c>
      <c r="C33" s="17" t="n">
        <f aca="false">INDEX(Dados!C$1:C$112,31+36*(Painel!$Y$5-1))</f>
        <v>30850.392</v>
      </c>
      <c r="D33" s="17" t="n">
        <f aca="false">INDEX(Dados!D$1:D$112,31+36*(Painel!$Y$5-1))</f>
        <v>34256.976</v>
      </c>
      <c r="E33" s="17" t="n">
        <f aca="false">INDEX(Dados!E$1:E$112,31+36*(Painel!$Y$5-1))</f>
        <v>48308.512</v>
      </c>
      <c r="F33" s="17" t="n">
        <f aca="false">INDEX(Dados!F$1:F$112,31+36*(Painel!$Y$5-1))</f>
        <v>50287</v>
      </c>
      <c r="G33" s="17" t="n">
        <f aca="false">INDEX(Dados!G$1:G$112,31+36*(Painel!$Y$5-1))</f>
        <v>53421</v>
      </c>
      <c r="H33" s="17" t="n">
        <f aca="false">INDEX(Dados!H$1:H$112,31+36*(Painel!$Y$5-1))</f>
        <v>56309</v>
      </c>
      <c r="I33" s="17" t="n">
        <f aca="false">INDEX(Dados!I$1:I$112,31+36*(Painel!$Y$5-1))</f>
        <v>65105</v>
      </c>
      <c r="J33" s="17" t="n">
        <f aca="false">INDEX(Dados!J$1:J$112,31+36*(Painel!$Y$5-1))</f>
        <v>49261</v>
      </c>
      <c r="K33" s="17" t="n">
        <f aca="false">INDEX(Dados!K$1:K$112,31+36*(Painel!$Y$5-1))</f>
        <v>48775</v>
      </c>
      <c r="L33" s="2" t="s">
        <v>172</v>
      </c>
    </row>
    <row r="34" customFormat="false" ht="15" hidden="false" customHeight="false" outlineLevel="0" collapsed="false">
      <c r="B34" s="15" t="s">
        <v>173</v>
      </c>
      <c r="C34" s="17" t="n">
        <f aca="false">INDEX(Dados!C$1:C$112,32+36*(Painel!$Y$5-1))</f>
        <v>341714.838</v>
      </c>
      <c r="D34" s="17" t="n">
        <f aca="false">INDEX(Dados!D$1:D$112,32+36*(Painel!$Y$5-1))</f>
        <v>369670.328</v>
      </c>
      <c r="E34" s="17" t="n">
        <f aca="false">INDEX(Dados!E$1:E$112,32+36*(Painel!$Y$5-1))</f>
        <v>478129.515</v>
      </c>
      <c r="F34" s="17" t="n">
        <f aca="false">INDEX(Dados!F$1:F$112,32+36*(Painel!$Y$5-1))</f>
        <v>499128</v>
      </c>
      <c r="G34" s="17" t="n">
        <f aca="false">INDEX(Dados!G$1:G$112,32+36*(Painel!$Y$5-1))</f>
        <v>453387</v>
      </c>
      <c r="H34" s="17" t="n">
        <f aca="false">INDEX(Dados!H$1:H$112,32+36*(Painel!$Y$5-1))</f>
        <v>455984</v>
      </c>
      <c r="I34" s="17" t="n">
        <f aca="false">INDEX(Dados!I$1:I$112,32+36*(Painel!$Y$5-1))</f>
        <v>496325</v>
      </c>
      <c r="J34" s="17" t="n">
        <f aca="false">INDEX(Dados!J$1:J$112,32+36*(Painel!$Y$5-1))</f>
        <v>476094</v>
      </c>
      <c r="K34" s="17" t="n">
        <f aca="false">INDEX(Dados!K$1:K$112,32+36*(Painel!$Y$5-1))</f>
        <v>462161</v>
      </c>
      <c r="L34" s="2" t="s">
        <v>174</v>
      </c>
    </row>
    <row r="35" customFormat="false" ht="15" hidden="false" customHeight="false" outlineLevel="0" collapsed="false">
      <c r="B35" s="15" t="s">
        <v>175</v>
      </c>
      <c r="C35" s="17" t="n">
        <f aca="false">INDEX(Dados!C$1:C$112,33+36*(Painel!$Y$5-1))</f>
        <v>13609.716</v>
      </c>
      <c r="D35" s="17" t="n">
        <f aca="false">INDEX(Dados!D$1:D$112,33+36*(Painel!$Y$5-1))</f>
        <v>16555.739</v>
      </c>
      <c r="E35" s="17" t="n">
        <f aca="false">INDEX(Dados!E$1:E$112,33+36*(Painel!$Y$5-1))</f>
        <v>17495.96</v>
      </c>
      <c r="F35" s="17" t="n">
        <f aca="false">INDEX(Dados!F$1:F$112,33+36*(Painel!$Y$5-1))</f>
        <v>19393</v>
      </c>
      <c r="G35" s="17" t="n">
        <f aca="false">INDEX(Dados!G$1:G$112,33+36*(Painel!$Y$5-1))</f>
        <v>23278</v>
      </c>
      <c r="H35" s="17" t="n">
        <f aca="false">INDEX(Dados!H$1:H$112,33+36*(Painel!$Y$5-1))</f>
        <v>25523</v>
      </c>
      <c r="I35" s="17" t="n">
        <f aca="false">INDEX(Dados!I$1:I$112,33+36*(Painel!$Y$5-1))</f>
        <v>26217</v>
      </c>
      <c r="J35" s="17" t="n">
        <f aca="false">INDEX(Dados!J$1:J$112,33+36*(Painel!$Y$5-1))</f>
        <v>30621</v>
      </c>
      <c r="K35" s="17" t="n">
        <f aca="false">INDEX(Dados!K$1:K$112,33+36*(Painel!$Y$5-1))</f>
        <v>32113</v>
      </c>
      <c r="L35" s="2" t="s">
        <v>176</v>
      </c>
    </row>
    <row r="36" customFormat="false" ht="15" hidden="false" customHeight="false" outlineLevel="0" collapsed="false">
      <c r="B36" s="15" t="s">
        <v>177</v>
      </c>
      <c r="C36" s="17" t="n">
        <f aca="false">INDEX(Dados!C$1:C$112,34+36*(Painel!$Y$5-1))</f>
        <v>3888.522</v>
      </c>
      <c r="D36" s="17" t="n">
        <f aca="false">INDEX(Dados!D$1:D$112,34+36*(Painel!$Y$5-1))</f>
        <v>5804.801</v>
      </c>
      <c r="E36" s="17" t="n">
        <f aca="false">INDEX(Dados!E$1:E$112,34+36*(Painel!$Y$5-1))</f>
        <v>5901.375</v>
      </c>
      <c r="F36" s="17" t="n">
        <f aca="false">INDEX(Dados!F$1:F$112,34+36*(Painel!$Y$5-1))</f>
        <v>6720</v>
      </c>
      <c r="G36" s="17" t="n">
        <f aca="false">INDEX(Dados!G$1:G$112,34+36*(Painel!$Y$5-1))</f>
        <v>2552</v>
      </c>
      <c r="H36" s="17" t="n">
        <f aca="false">INDEX(Dados!H$1:H$112,34+36*(Painel!$Y$5-1))</f>
        <v>4940</v>
      </c>
      <c r="I36" s="17" t="n">
        <f aca="false">INDEX(Dados!I$1:I$112,34+36*(Painel!$Y$5-1))</f>
        <v>7223</v>
      </c>
      <c r="J36" s="17" t="n">
        <f aca="false">INDEX(Dados!J$1:J$112,34+36*(Painel!$Y$5-1))</f>
        <v>3731</v>
      </c>
      <c r="K36" s="17" t="n">
        <f aca="false">INDEX(Dados!K$1:K$112,34+36*(Painel!$Y$5-1))</f>
        <v>6534</v>
      </c>
      <c r="L36" s="2" t="s">
        <v>178</v>
      </c>
    </row>
    <row r="37" customFormat="false" ht="15" hidden="false" customHeight="false" outlineLevel="0" collapsed="false">
      <c r="B37" s="15" t="s">
        <v>179</v>
      </c>
      <c r="C37" s="17" t="n">
        <f aca="false">INDEX(Dados!C$1:C$112,35+36*(Painel!$Y$5-1))</f>
        <v>35516.662</v>
      </c>
      <c r="D37" s="17" t="n">
        <f aca="false">INDEX(Dados!D$1:D$112,35+36*(Painel!$Y$5-1))</f>
        <v>55805.644</v>
      </c>
      <c r="E37" s="17" t="n">
        <f aca="false">INDEX(Dados!E$1:E$112,35+36*(Painel!$Y$5-1))</f>
        <v>75837.515</v>
      </c>
      <c r="F37" s="17" t="n">
        <f aca="false">INDEX(Dados!F$1:F$112,35+36*(Painel!$Y$5-1))</f>
        <v>84814</v>
      </c>
      <c r="G37" s="17" t="n">
        <f aca="false">INDEX(Dados!G$1:G$112,35+36*(Painel!$Y$5-1))</f>
        <v>72478</v>
      </c>
      <c r="H37" s="17" t="n">
        <f aca="false">INDEX(Dados!H$1:H$112,35+36*(Painel!$Y$5-1))</f>
        <v>70948</v>
      </c>
      <c r="I37" s="17" t="n">
        <f aca="false">INDEX(Dados!I$1:I$112,35+36*(Painel!$Y$5-1))</f>
        <v>81055</v>
      </c>
      <c r="J37" s="17" t="n">
        <f aca="false">INDEX(Dados!J$1:J$112,35+36*(Painel!$Y$5-1))</f>
        <v>87320</v>
      </c>
      <c r="K37" s="17" t="n">
        <f aca="false">INDEX(Dados!K$1:K$112,35+36*(Painel!$Y$5-1))</f>
        <v>76703</v>
      </c>
      <c r="L37" s="2" t="s">
        <v>180</v>
      </c>
    </row>
    <row r="38" customFormat="false" ht="15" hidden="false" customHeight="false" outlineLevel="0" collapsed="false">
      <c r="B38" s="15" t="s">
        <v>181</v>
      </c>
      <c r="C38" s="17" t="n">
        <f aca="false">INDEX(Dados!C$1:C$112,36+36*(Painel!$Y$5-1))</f>
        <v>56039.432</v>
      </c>
      <c r="D38" s="17" t="n">
        <f aca="false">INDEX(Dados!D$1:D$112,36+36*(Painel!$Y$5-1))</f>
        <v>54037.929</v>
      </c>
      <c r="E38" s="17" t="n">
        <f aca="false">INDEX(Dados!E$1:E$112,36+36*(Painel!$Y$5-1))</f>
        <v>72187.72</v>
      </c>
      <c r="F38" s="17" t="n">
        <f aca="false">INDEX(Dados!F$1:F$112,36+36*(Painel!$Y$5-1))</f>
        <v>70189</v>
      </c>
      <c r="G38" s="17" t="n">
        <f aca="false">INDEX(Dados!G$1:G$112,36+36*(Painel!$Y$5-1))</f>
        <v>63778</v>
      </c>
      <c r="H38" s="17" t="n">
        <f aca="false">INDEX(Dados!H$1:H$112,36+36*(Painel!$Y$5-1))</f>
        <v>62464</v>
      </c>
      <c r="I38" s="17" t="n">
        <f aca="false">INDEX(Dados!I$1:I$112,36+36*(Painel!$Y$5-1))</f>
        <v>88789</v>
      </c>
      <c r="J38" s="17" t="n">
        <f aca="false">INDEX(Dados!J$1:J$112,36+36*(Painel!$Y$5-1))</f>
        <v>99726</v>
      </c>
      <c r="K38" s="17" t="n">
        <f aca="false">INDEX(Dados!K$1:K$112,36+36*(Painel!$Y$5-1))</f>
        <v>91500</v>
      </c>
      <c r="L38" s="2" t="s">
        <v>182</v>
      </c>
    </row>
    <row r="39" customFormat="false" ht="15" hidden="false" customHeight="false" outlineLevel="0" collapsed="false">
      <c r="B39" s="15" t="s">
        <v>183</v>
      </c>
      <c r="C39" s="17" t="n">
        <f aca="false">INDEX(Dados!C$1:C$112,37+36*(Painel!$Y$5-1))</f>
        <v>173682.178</v>
      </c>
      <c r="D39" s="17" t="n">
        <f aca="false">INDEX(Dados!D$1:D$112,37+36*(Painel!$Y$5-1))</f>
        <v>157149.353</v>
      </c>
      <c r="E39" s="17" t="n">
        <f aca="false">INDEX(Dados!E$1:E$112,37+36*(Painel!$Y$5-1))</f>
        <v>180985.984</v>
      </c>
      <c r="F39" s="17" t="n">
        <f aca="false">INDEX(Dados!F$1:F$112,37+36*(Painel!$Y$5-1))</f>
        <v>197058</v>
      </c>
      <c r="G39" s="17" t="n">
        <f aca="false">INDEX(Dados!G$1:G$112,37+36*(Painel!$Y$5-1))</f>
        <v>194894</v>
      </c>
      <c r="H39" s="17" t="n">
        <f aca="false">INDEX(Dados!H$1:H$112,37+36*(Painel!$Y$5-1))</f>
        <v>198325</v>
      </c>
      <c r="I39" s="17" t="n">
        <f aca="false">INDEX(Dados!I$1:I$112,37+36*(Painel!$Y$5-1))</f>
        <v>213720</v>
      </c>
      <c r="J39" s="17" t="n">
        <f aca="false">INDEX(Dados!J$1:J$112,37+36*(Painel!$Y$5-1))</f>
        <v>188926</v>
      </c>
      <c r="K39" s="17" t="n">
        <f aca="false">INDEX(Dados!K$1:K$112,37+36*(Painel!$Y$5-1))</f>
        <v>201467</v>
      </c>
      <c r="L39" s="2" t="s">
        <v>184</v>
      </c>
    </row>
    <row r="40" customFormat="false" ht="15" hidden="false" customHeight="false" outlineLevel="0" collapsed="false">
      <c r="B40" s="15" t="s">
        <v>185</v>
      </c>
      <c r="C40" s="17" t="n">
        <f aca="false">INDEX(Dados!C$1:C$112,38+36*(Painel!$Y$5-1))</f>
        <v>3279.552</v>
      </c>
      <c r="D40" s="17" t="n">
        <f aca="false">INDEX(Dados!D$1:D$112,38+36*(Painel!$Y$5-1))</f>
        <v>-4330.947</v>
      </c>
      <c r="E40" s="17" t="n">
        <f aca="false">INDEX(Dados!E$1:E$112,38+36*(Painel!$Y$5-1))</f>
        <v>-4798.995</v>
      </c>
      <c r="F40" s="17" t="n">
        <f aca="false">INDEX(Dados!F$1:F$112,38+36*(Painel!$Y$5-1))</f>
        <v>4655</v>
      </c>
      <c r="G40" s="17" t="n">
        <f aca="false">INDEX(Dados!G$1:G$112,38+36*(Painel!$Y$5-1))</f>
        <v>7782</v>
      </c>
      <c r="H40" s="17" t="n">
        <f aca="false">INDEX(Dados!H$1:H$112,38+36*(Painel!$Y$5-1))</f>
        <v>7360</v>
      </c>
      <c r="I40" s="17" t="n">
        <f aca="false">INDEX(Dados!I$1:I$112,38+36*(Painel!$Y$5-1))</f>
        <v>6948</v>
      </c>
      <c r="J40" s="17" t="n">
        <f aca="false">INDEX(Dados!J$1:J$112,38+36*(Painel!$Y$5-1))</f>
        <v>4627</v>
      </c>
      <c r="K40" s="17" t="n">
        <f aca="false">INDEX(Dados!K$1:K$112,38+36*(Painel!$Y$5-1))</f>
        <v>4832</v>
      </c>
      <c r="L40" s="2" t="s">
        <v>186</v>
      </c>
    </row>
    <row r="42" customFormat="false" ht="15" hidden="false" customHeight="false" outlineLevel="0" collapsed="false">
      <c r="B42" s="8" t="s">
        <v>187</v>
      </c>
      <c r="C42" s="9" t="s">
        <v>109</v>
      </c>
      <c r="D42" s="9" t="s">
        <v>110</v>
      </c>
      <c r="E42" s="9" t="s">
        <v>111</v>
      </c>
      <c r="F42" s="9" t="s">
        <v>112</v>
      </c>
      <c r="G42" s="9" t="s">
        <v>113</v>
      </c>
      <c r="H42" s="9" t="s">
        <v>114</v>
      </c>
      <c r="I42" s="9" t="s">
        <v>115</v>
      </c>
      <c r="J42" s="9" t="s">
        <v>116</v>
      </c>
      <c r="K42" s="9" t="s">
        <v>117</v>
      </c>
      <c r="L42" s="8" t="s">
        <v>188</v>
      </c>
    </row>
    <row r="43" customFormat="false" ht="15" hidden="false" customHeight="false" outlineLevel="0" collapsed="false">
      <c r="B43" s="15" t="s">
        <v>189</v>
      </c>
      <c r="C43" s="17" t="n">
        <f aca="false">C14+C21</f>
        <v>55414.679</v>
      </c>
      <c r="D43" s="17" t="n">
        <f aca="false">D14+D21</f>
        <v>16990.508</v>
      </c>
      <c r="E43" s="17" t="n">
        <f aca="false">E14+E21</f>
        <v>68746.834</v>
      </c>
      <c r="F43" s="17" t="n">
        <f aca="false">F14+F21</f>
        <v>157714</v>
      </c>
      <c r="G43" s="17" t="n">
        <f aca="false">G14+G21</f>
        <v>106712</v>
      </c>
      <c r="H43" s="17" t="n">
        <f aca="false">H14+H21</f>
        <v>80572</v>
      </c>
      <c r="I43" s="17" t="n">
        <f aca="false">I14+I21</f>
        <v>71984</v>
      </c>
      <c r="J43" s="17" t="n">
        <f aca="false">J14+J21</f>
        <v>49275</v>
      </c>
      <c r="K43" s="17" t="n">
        <f aca="false">K14+K21</f>
        <v>51933</v>
      </c>
      <c r="L43" s="2" t="s">
        <v>190</v>
      </c>
    </row>
    <row r="44" customFormat="false" ht="15" hidden="false" customHeight="false" outlineLevel="0" collapsed="false">
      <c r="B44" s="15" t="s">
        <v>191</v>
      </c>
      <c r="C44" s="17" t="n">
        <f aca="false">C43-C11</f>
        <v>58938.137</v>
      </c>
      <c r="D44" s="17" t="n">
        <f aca="false">D43-D11</f>
        <v>37752.879</v>
      </c>
      <c r="E44" s="17" t="n">
        <f aca="false">E43-E11</f>
        <v>80565.626</v>
      </c>
      <c r="F44" s="17" t="n">
        <f aca="false">F43-F11</f>
        <v>160066</v>
      </c>
      <c r="G44" s="17" t="n">
        <f aca="false">G43-G11</f>
        <v>102879</v>
      </c>
      <c r="H44" s="17" t="n">
        <f aca="false">H43-H11</f>
        <v>81889</v>
      </c>
      <c r="I44" s="17" t="n">
        <f aca="false">I43-I11</f>
        <v>71474</v>
      </c>
      <c r="J44" s="17" t="n">
        <f aca="false">J43-J11</f>
        <v>74422</v>
      </c>
      <c r="K44" s="17" t="n">
        <f aca="false">K43-K11</f>
        <v>75423</v>
      </c>
      <c r="L44" s="2" t="s">
        <v>192</v>
      </c>
    </row>
    <row r="45" customFormat="false" ht="15" hidden="false" customHeight="false" outlineLevel="0" collapsed="false">
      <c r="B45" s="15" t="s">
        <v>193</v>
      </c>
      <c r="C45" s="17" t="n">
        <f aca="false">C7+C21</f>
        <v>-68961.969</v>
      </c>
      <c r="D45" s="17" t="n">
        <f aca="false">D7+D21</f>
        <v>-69084.83</v>
      </c>
      <c r="E45" s="17" t="n">
        <f aca="false">E7+E21</f>
        <v>-81888.278</v>
      </c>
      <c r="F45" s="17" t="n">
        <f aca="false">F7+F21</f>
        <v>-100888</v>
      </c>
      <c r="G45" s="17" t="n">
        <f aca="false">G7+G21</f>
        <v>-107809</v>
      </c>
      <c r="H45" s="17" t="n">
        <f aca="false">H7+H21</f>
        <v>-104716</v>
      </c>
      <c r="I45" s="17" t="n">
        <f aca="false">I7+I21</f>
        <v>-114793</v>
      </c>
      <c r="J45" s="17" t="n">
        <f aca="false">J7+J21</f>
        <v>-121581</v>
      </c>
      <c r="K45" s="17" t="n">
        <f aca="false">K7+K21</f>
        <v>-124088</v>
      </c>
      <c r="L45" s="2" t="s">
        <v>194</v>
      </c>
    </row>
    <row r="46" customFormat="false" ht="15" hidden="false" customHeight="false" outlineLevel="0" collapsed="false">
      <c r="B46" s="15" t="s">
        <v>195</v>
      </c>
      <c r="C46" s="17" t="n">
        <f aca="false">C12-C9-C10-C13</f>
        <v>-7496.227</v>
      </c>
      <c r="D46" s="17" t="n">
        <f aca="false">D12-D9-D10-D13</f>
        <v>-57956.372</v>
      </c>
      <c r="E46" s="17" t="n">
        <f aca="false">E12-E9-E10-E13</f>
        <v>-49600.804</v>
      </c>
      <c r="F46" s="17" t="n">
        <f aca="false">F12-F9-F10-F13</f>
        <v>-25374</v>
      </c>
      <c r="G46" s="17" t="n">
        <f aca="false">G12-G9-G10-G13</f>
        <v>-10945</v>
      </c>
      <c r="H46" s="17" t="n">
        <f aca="false">H12-H9-H10-H13</f>
        <v>-14586</v>
      </c>
      <c r="I46" s="17" t="n">
        <f aca="false">I12-I9-I10-I13</f>
        <v>-14261</v>
      </c>
      <c r="J46" s="17" t="n">
        <f aca="false">J12-J9-J10-J13</f>
        <v>-38003</v>
      </c>
      <c r="K46" s="17" t="n">
        <f aca="false">K12-K9-K10-K13</f>
        <v>-37928</v>
      </c>
      <c r="L46" s="2" t="s">
        <v>196</v>
      </c>
    </row>
    <row r="47" customFormat="false" ht="15" hidden="false" customHeight="false" outlineLevel="0" collapsed="false">
      <c r="B47" s="15" t="s">
        <v>197</v>
      </c>
      <c r="C47" s="17" t="n">
        <f aca="false">(C14-C13)*(1-0.34)</f>
        <v>28953.6918</v>
      </c>
      <c r="D47" s="17" t="n">
        <f aca="false">(D14-D13)*(1-0.34)</f>
        <v>3249.62748</v>
      </c>
      <c r="E47" s="17" t="n">
        <f aca="false">(E14-E13)*(1-0.34)</f>
        <v>37952.34168</v>
      </c>
      <c r="F47" s="17" t="n">
        <f aca="false">(F14-F13)*(1-0.34)</f>
        <v>97866.12</v>
      </c>
      <c r="G47" s="17" t="n">
        <f aca="false">(G14-G13)*(1-0.34)</f>
        <v>58548.6</v>
      </c>
      <c r="H47" s="17" t="n">
        <f aca="false">(H14-H13)*(1-0.34)</f>
        <v>46665.96</v>
      </c>
      <c r="I47" s="17" t="n">
        <f aca="false">(I14-I13)*(1-0.34)</f>
        <v>37639.14</v>
      </c>
      <c r="J47" s="17" t="n">
        <f aca="false">(J14-J13)*(1-0.34)</f>
        <v>21871.74</v>
      </c>
      <c r="K47" s="17" t="n">
        <f aca="false">(K14-K13)*(1-0.34)</f>
        <v>22811.58</v>
      </c>
      <c r="L47" s="2" t="s">
        <v>198</v>
      </c>
    </row>
    <row r="48" customFormat="false" ht="15" hidden="false" customHeight="false" outlineLevel="0" collapsed="false">
      <c r="B48" s="15" t="s">
        <v>199</v>
      </c>
      <c r="D48" s="11" t="n">
        <f aca="false">D6/C6-1</f>
        <v>0.105268188069929</v>
      </c>
      <c r="E48" s="11" t="n">
        <f aca="false">E6/D6-1</f>
        <v>0.402912202839505</v>
      </c>
      <c r="F48" s="11" t="n">
        <f aca="false">F6/E6-1</f>
        <v>0.407594815255195</v>
      </c>
      <c r="G48" s="11" t="n">
        <f aca="false">G6/F6-1</f>
        <v>-0.228315231463185</v>
      </c>
      <c r="H48" s="11" t="n">
        <f aca="false">H6/G6-1</f>
        <v>-0.0814187578363678</v>
      </c>
      <c r="I48" s="11" t="n">
        <f aca="false">I6/H6-1</f>
        <v>-0.00990551075139623</v>
      </c>
      <c r="J48" s="11" t="n">
        <f aca="false">J6/I6-1</f>
        <v>0.0368437659280114</v>
      </c>
      <c r="K48" s="11" t="n">
        <f aca="false">K6/J6-1</f>
        <v>0.0209461831971722</v>
      </c>
      <c r="L48" s="2" t="s">
        <v>200</v>
      </c>
    </row>
    <row r="49" customFormat="false" ht="15" hidden="false" customHeight="false" outlineLevel="0" collapsed="false">
      <c r="B49" s="15" t="s">
        <v>201</v>
      </c>
      <c r="C49" s="11" t="n">
        <f aca="false">C8/C6</f>
        <v>0.396200055611438</v>
      </c>
      <c r="D49" s="11" t="n">
        <f aca="false">D8/D6</f>
        <v>0.435982188122934</v>
      </c>
      <c r="E49" s="11" t="n">
        <f aca="false">E8/E6</f>
        <v>0.527319423600464</v>
      </c>
      <c r="F49" s="11" t="n">
        <f aca="false">F8/F6</f>
        <v>0.600485820580259</v>
      </c>
      <c r="G49" s="11" t="n">
        <f aca="false">G8/G6</f>
        <v>0.451697070302153</v>
      </c>
      <c r="H49" s="11" t="n">
        <f aca="false">H8/H6</f>
        <v>0.423183028462123</v>
      </c>
      <c r="I49" s="11" t="n">
        <f aca="false">I8/I6</f>
        <v>0.362549452683187</v>
      </c>
      <c r="J49" s="11" t="n">
        <f aca="false">J8/J6</f>
        <v>0.349764741684028</v>
      </c>
      <c r="K49" s="11" t="n">
        <f aca="false">K8/K6</f>
        <v>0.349238085193219</v>
      </c>
      <c r="L49" s="2" t="s">
        <v>202</v>
      </c>
    </row>
    <row r="50" customFormat="false" ht="15" hidden="false" customHeight="false" outlineLevel="0" collapsed="false">
      <c r="B50" s="15" t="s">
        <v>203</v>
      </c>
      <c r="C50" s="11" t="n">
        <f aca="false">C43/C6</f>
        <v>0.41205674383268</v>
      </c>
      <c r="D50" s="11" t="n">
        <f aca="false">D43/D6</f>
        <v>0.114306492399172</v>
      </c>
      <c r="E50" s="11" t="n">
        <f aca="false">E43/E6</f>
        <v>0.329675553289031</v>
      </c>
      <c r="F50" s="11" t="n">
        <f aca="false">F43/F6</f>
        <v>0.537312110764367</v>
      </c>
      <c r="G50" s="11" t="n">
        <f aca="false">G43/G6</f>
        <v>0.471118017906652</v>
      </c>
      <c r="H50" s="11" t="n">
        <f aca="false">H43/H6</f>
        <v>0.387242509588304</v>
      </c>
      <c r="I50" s="11" t="n">
        <f aca="false">I43/I6</f>
        <v>0.349428411931749</v>
      </c>
      <c r="J50" s="11" t="n">
        <f aca="false">J43/J6</f>
        <v>0.230693602378333</v>
      </c>
      <c r="K50" s="11" t="n">
        <f aca="false">K43/K6</f>
        <v>0.238149393082006</v>
      </c>
      <c r="L50" s="2" t="s">
        <v>204</v>
      </c>
    </row>
    <row r="51" customFormat="false" ht="15" hidden="false" customHeight="false" outlineLevel="0" collapsed="false">
      <c r="B51" s="15" t="s">
        <v>205</v>
      </c>
      <c r="C51" s="11" t="n">
        <f aca="false">C44/C6</f>
        <v>0.438256744567345</v>
      </c>
      <c r="D51" s="11" t="n">
        <f aca="false">D44/D6</f>
        <v>0.253988825787925</v>
      </c>
      <c r="E51" s="11" t="n">
        <f aca="false">E44/E6</f>
        <v>0.386352589380729</v>
      </c>
      <c r="F51" s="11" t="n">
        <f aca="false">F44/F6</f>
        <v>0.545325084149848</v>
      </c>
      <c r="G51" s="11" t="n">
        <f aca="false">G44/G6</f>
        <v>0.454195878291275</v>
      </c>
      <c r="H51" s="11" t="n">
        <f aca="false">H44/H6</f>
        <v>0.393572231887959</v>
      </c>
      <c r="I51" s="11" t="n">
        <f aca="false">I44/I6</f>
        <v>0.34695274386544</v>
      </c>
      <c r="J51" s="11" t="n">
        <f aca="false">J44/J6</f>
        <v>0.34842575902994</v>
      </c>
      <c r="K51" s="11" t="n">
        <f aca="false">K44/K6</f>
        <v>0.345867592367553</v>
      </c>
      <c r="L51" s="2" t="s">
        <v>206</v>
      </c>
    </row>
    <row r="52" customFormat="false" ht="15" hidden="false" customHeight="false" outlineLevel="0" collapsed="false">
      <c r="B52" s="15" t="s">
        <v>207</v>
      </c>
      <c r="C52" s="11" t="n">
        <f aca="false">C14/C6</f>
        <v>0.321049527061113</v>
      </c>
      <c r="D52" s="11" t="n">
        <f aca="false">D14/D6</f>
        <v>0.0150684619914458</v>
      </c>
      <c r="E52" s="11" t="n">
        <f aca="false">E14/E6</f>
        <v>0.249690346068765</v>
      </c>
      <c r="F52" s="11" t="n">
        <f aca="false">F14/F6</f>
        <v>0.481510881563348</v>
      </c>
      <c r="G52" s="11" t="n">
        <f aca="false">G14/G6</f>
        <v>0.398776202165045</v>
      </c>
      <c r="H52" s="11" t="n">
        <f aca="false">H14/H6</f>
        <v>0.313708150298463</v>
      </c>
      <c r="I52" s="11" t="n">
        <f aca="false">I14/I6</f>
        <v>0.269211912332225</v>
      </c>
      <c r="J52" s="11" t="n">
        <f aca="false">J14/J6</f>
        <v>0.149671106533393</v>
      </c>
      <c r="K52" s="11" t="n">
        <f aca="false">K14/K6</f>
        <v>0.156418381338017</v>
      </c>
      <c r="L52" s="2" t="s">
        <v>208</v>
      </c>
    </row>
    <row r="53" customFormat="false" ht="15" hidden="false" customHeight="false" outlineLevel="0" collapsed="false">
      <c r="B53" s="15" t="s">
        <v>209</v>
      </c>
      <c r="C53" s="11" t="n">
        <f aca="false">C18/C6</f>
        <v>0.191650571834566</v>
      </c>
      <c r="D53" s="11" t="n">
        <f aca="false">D18/D6</f>
        <v>-0.0585040676925548</v>
      </c>
      <c r="E53" s="11" t="n">
        <f aca="false">E18/E6</f>
        <v>0.119419216416092</v>
      </c>
      <c r="F53" s="11" t="n">
        <f aca="false">F18/F6</f>
        <v>0.413400607786757</v>
      </c>
      <c r="G53" s="11" t="n">
        <f aca="false">G18/G6</f>
        <v>0.425313896197927</v>
      </c>
      <c r="H53" s="11" t="n">
        <f aca="false">H18/H6</f>
        <v>0.194909307623543</v>
      </c>
      <c r="I53" s="11" t="n">
        <f aca="false">I18/I6</f>
        <v>0.147719715540885</v>
      </c>
      <c r="J53" s="11" t="n">
        <f aca="false">J18/J6</f>
        <v>0.0552962382078232</v>
      </c>
      <c r="K53" s="11" t="n">
        <f aca="false">K18/K6</f>
        <v>0.0398543580242951</v>
      </c>
      <c r="L53" s="2" t="s">
        <v>210</v>
      </c>
    </row>
    <row r="54" customFormat="false" ht="15" hidden="false" customHeight="false" outlineLevel="0" collapsed="false">
      <c r="B54" s="15" t="s">
        <v>211</v>
      </c>
      <c r="C54" s="11" t="n">
        <f aca="false">C23/C6</f>
        <v>0.103942653742299</v>
      </c>
      <c r="D54" s="11" t="n">
        <f aca="false">D23/D6</f>
        <v>0.0993943612227835</v>
      </c>
      <c r="E54" s="11" t="n">
        <f aca="false">E23/E6</f>
        <v>0.108980824079042</v>
      </c>
      <c r="F54" s="11" t="n">
        <f aca="false">F23/F6</f>
        <v>0.093011133672204</v>
      </c>
      <c r="G54" s="11" t="n">
        <f aca="false">G23/G6</f>
        <v>0.124428276263973</v>
      </c>
      <c r="H54" s="11" t="n">
        <f aca="false">H23/H6</f>
        <v>0.141522401545663</v>
      </c>
      <c r="I54" s="11" t="n">
        <f aca="false">I23/I6</f>
        <v>0.170374505473168</v>
      </c>
      <c r="J54" s="11" t="n">
        <f aca="false">J23/J6</f>
        <v>0.156323883986048</v>
      </c>
      <c r="K54" s="11" t="n">
        <f aca="false">K23/K6</f>
        <v>0.146045517703112</v>
      </c>
      <c r="L54" s="2" t="s">
        <v>212</v>
      </c>
    </row>
    <row r="55" customFormat="false" ht="15" hidden="false" customHeight="false" outlineLevel="0" collapsed="false">
      <c r="B55" s="15" t="s">
        <v>213</v>
      </c>
      <c r="C55" s="17" t="n">
        <f aca="false">C32+C33</f>
        <v>218331.891</v>
      </c>
      <c r="D55" s="17" t="n">
        <f aca="false">D32+D33</f>
        <v>221990.131</v>
      </c>
      <c r="E55" s="17" t="n">
        <f aca="false">E32+E33</f>
        <v>262144.264</v>
      </c>
      <c r="F55" s="17" t="n">
        <f aca="false">F32+F33</f>
        <v>284282</v>
      </c>
      <c r="G55" s="17" t="n">
        <f aca="false">G32+G33</f>
        <v>287893</v>
      </c>
      <c r="H55" s="17" t="n">
        <f aca="false">H32+H33</f>
        <v>290611</v>
      </c>
      <c r="I55" s="17" t="n">
        <f aca="false">I32+I33</f>
        <v>312699</v>
      </c>
      <c r="J55" s="17" t="n">
        <f aca="false">J32+J33</f>
        <v>289301</v>
      </c>
      <c r="K55" s="17" t="n">
        <f aca="false">K32+K33</f>
        <v>288963</v>
      </c>
      <c r="L55" s="2" t="s">
        <v>214</v>
      </c>
    </row>
    <row r="56" customFormat="false" ht="15" hidden="false" customHeight="false" outlineLevel="0" collapsed="false">
      <c r="B56" s="15" t="s">
        <v>215</v>
      </c>
      <c r="D56" s="11" t="n">
        <f aca="false">D21/C55</f>
        <v>0.0675610554758581</v>
      </c>
      <c r="E56" s="11" t="n">
        <f aca="false">E21/D55</f>
        <v>0.0751349437241424</v>
      </c>
      <c r="F56" s="11" t="n">
        <f aca="false">F21/E55</f>
        <v>0.0624808635904389</v>
      </c>
      <c r="G56" s="11" t="n">
        <f aca="false">G21/F55</f>
        <v>0.0576399490646612</v>
      </c>
      <c r="H56" s="11" t="n">
        <f aca="false">H21/G55</f>
        <v>0.0531447447489171</v>
      </c>
      <c r="I56" s="11" t="n">
        <f aca="false">I21/H55</f>
        <v>0.0568629542584417</v>
      </c>
      <c r="J56" s="11" t="n">
        <f aca="false">J21/I55</f>
        <v>0.0553439569682027</v>
      </c>
      <c r="K56" s="11" t="n">
        <f aca="false">K21/J55</f>
        <v>0.0616071150808328</v>
      </c>
      <c r="L56" s="2" t="s">
        <v>216</v>
      </c>
    </row>
    <row r="57" customFormat="false" ht="15" hidden="false" customHeight="false" outlineLevel="0" collapsed="false">
      <c r="B57" s="15" t="s">
        <v>217</v>
      </c>
      <c r="C57" s="11" t="n">
        <f aca="false">-C17/C16</f>
        <v>-0.0384573352615481</v>
      </c>
      <c r="D57" s="11" t="n">
        <f aca="false">-D17/D16</f>
        <v>0.223915085848644</v>
      </c>
      <c r="E57" s="11" t="n">
        <f aca="false">-E17/E16</f>
        <v>0.108305521526346</v>
      </c>
      <c r="F57" s="11" t="n">
        <f aca="false">-F17/F16</f>
        <v>0.159098192237365</v>
      </c>
      <c r="G57" s="11" t="n">
        <f aca="false">-G17/G16</f>
        <v>0.149305828679305</v>
      </c>
      <c r="H57" s="11" t="n">
        <f aca="false">-H17/H16</f>
        <v>0.270007560211686</v>
      </c>
      <c r="I57" s="11" t="n">
        <f aca="false">-I17/I16</f>
        <v>0.110828658251519</v>
      </c>
      <c r="J57" s="11" t="n">
        <f aca="false">-J17/J16</f>
        <v>0.557524444610947</v>
      </c>
      <c r="K57" s="11" t="n">
        <f aca="false">-K17/K16</f>
        <v>0.643971979845152</v>
      </c>
      <c r="L57" s="2" t="s">
        <v>218</v>
      </c>
    </row>
    <row r="58" customFormat="false" ht="15" hidden="false" customHeight="false" outlineLevel="0" collapsed="false">
      <c r="B58" s="15" t="s">
        <v>219</v>
      </c>
      <c r="C58" s="28" t="n">
        <f aca="false">C28/C6*365</f>
        <v>31.6734171170292</v>
      </c>
      <c r="D58" s="28" t="n">
        <f aca="false">D28/D6*365</f>
        <v>28.1983227776339</v>
      </c>
      <c r="E58" s="28" t="n">
        <f aca="false">E28/E6*365</f>
        <v>47.6690508909613</v>
      </c>
      <c r="F58" s="28" t="n">
        <f aca="false">F28/F6*365</f>
        <v>27.1582562243633</v>
      </c>
      <c r="G58" s="28" t="n">
        <f aca="false">G28/G6*365</f>
        <v>36.3166201635262</v>
      </c>
      <c r="H58" s="28" t="n">
        <f aca="false">H28/H6*365</f>
        <v>35.6411186834947</v>
      </c>
      <c r="I58" s="28" t="n">
        <f aca="false">I28/I6*365</f>
        <v>25.8683041673746</v>
      </c>
      <c r="J58" s="28" t="n">
        <f aca="false">J28/J6*365</f>
        <v>21.5980477071093</v>
      </c>
      <c r="K58" s="28" t="n">
        <f aca="false">K28/K6*365</f>
        <v>22.6529676386832</v>
      </c>
      <c r="L58" s="2" t="s">
        <v>220</v>
      </c>
    </row>
    <row r="59" customFormat="false" ht="15" hidden="false" customHeight="false" outlineLevel="0" collapsed="false">
      <c r="B59" s="15" t="s">
        <v>221</v>
      </c>
      <c r="C59" s="28" t="n">
        <f aca="false">C29/-C45*365</f>
        <v>91.120087580446</v>
      </c>
      <c r="D59" s="28" t="n">
        <f aca="false">D29/-D45*365</f>
        <v>91.0239805178648</v>
      </c>
      <c r="E59" s="28" t="n">
        <f aca="false">E29/-E45*365</f>
        <v>94.0612076370686</v>
      </c>
      <c r="F59" s="28" t="n">
        <f aca="false">F29/-F45*365</f>
        <v>88.3810264848148</v>
      </c>
      <c r="G59" s="28" t="n">
        <f aca="false">G29/-G45*365</f>
        <v>79.1760428164624</v>
      </c>
      <c r="H59" s="28" t="n">
        <f aca="false">H29/-H45*365</f>
        <v>79.0503361472936</v>
      </c>
      <c r="I59" s="28" t="n">
        <f aca="false">I29/-I45*365</f>
        <v>90.6609723589418</v>
      </c>
      <c r="J59" s="28" t="n">
        <f aca="false">J29/-J45*365</f>
        <v>98.0670499502389</v>
      </c>
      <c r="K59" s="28" t="n">
        <f aca="false">K29/-K45*365</f>
        <v>95.3739281800013</v>
      </c>
      <c r="L59" s="2" t="s">
        <v>222</v>
      </c>
    </row>
    <row r="60" customFormat="false" ht="15" hidden="false" customHeight="false" outlineLevel="0" collapsed="false">
      <c r="B60" s="15" t="s">
        <v>223</v>
      </c>
      <c r="C60" s="28" t="n">
        <f aca="false">C35/-C45*365</f>
        <v>72.033127998419</v>
      </c>
      <c r="D60" s="28" t="n">
        <f aca="false">D35/-D45*365</f>
        <v>87.469922629903</v>
      </c>
      <c r="E60" s="28" t="n">
        <f aca="false">E35/-E45*365</f>
        <v>77.9846097142255</v>
      </c>
      <c r="F60" s="28" t="n">
        <f aca="false">F35/-F45*365</f>
        <v>70.1614166204108</v>
      </c>
      <c r="G60" s="28" t="n">
        <f aca="false">G35/-G45*365</f>
        <v>78.8103961635856</v>
      </c>
      <c r="H60" s="28" t="n">
        <f aca="false">H35/-H45*365</f>
        <v>88.9634344321785</v>
      </c>
      <c r="I60" s="28" t="n">
        <f aca="false">I35/-I45*365</f>
        <v>83.3605272098473</v>
      </c>
      <c r="J60" s="28" t="n">
        <f aca="false">J35/-J45*365</f>
        <v>91.9277271942162</v>
      </c>
      <c r="K60" s="28" t="n">
        <f aca="false">K35/-K45*365</f>
        <v>94.4591338405003</v>
      </c>
      <c r="L60" s="2" t="s">
        <v>224</v>
      </c>
    </row>
    <row r="61" customFormat="false" ht="15" hidden="false" customHeight="false" outlineLevel="0" collapsed="false">
      <c r="B61" s="15" t="s">
        <v>225</v>
      </c>
      <c r="C61" s="28" t="n">
        <f aca="false">C58+C59-C60</f>
        <v>50.7603766990563</v>
      </c>
      <c r="D61" s="28" t="n">
        <f aca="false">D58+D59-D60</f>
        <v>31.7523806655957</v>
      </c>
      <c r="E61" s="28" t="n">
        <f aca="false">E58+E59-E60</f>
        <v>63.7456488138044</v>
      </c>
      <c r="F61" s="28" t="n">
        <f aca="false">F58+F59-F60</f>
        <v>45.3778660887673</v>
      </c>
      <c r="G61" s="28" t="n">
        <f aca="false">G58+G59-G60</f>
        <v>36.6822668164031</v>
      </c>
      <c r="H61" s="28" t="n">
        <f aca="false">H58+H59-H60</f>
        <v>25.7280203986098</v>
      </c>
      <c r="I61" s="28" t="n">
        <f aca="false">I58+I59-I60</f>
        <v>33.168749316469</v>
      </c>
      <c r="J61" s="28" t="n">
        <f aca="false">J58+J59-J60</f>
        <v>27.737370463132</v>
      </c>
      <c r="K61" s="28" t="n">
        <f aca="false">K58+K59-K60</f>
        <v>23.5677619781842</v>
      </c>
      <c r="L61" s="2" t="s">
        <v>226</v>
      </c>
    </row>
    <row r="62" customFormat="false" ht="15" hidden="false" customHeight="false" outlineLevel="0" collapsed="false">
      <c r="B62" s="15" t="s">
        <v>227</v>
      </c>
      <c r="C62" s="17" t="n">
        <f aca="false">C28+C29-C35</f>
        <v>15276.204</v>
      </c>
      <c r="D62" s="17" t="n">
        <f aca="false">D28+D29-D35</f>
        <v>12155.967</v>
      </c>
      <c r="E62" s="17" t="n">
        <f aca="false">E28+E29-E35</f>
        <v>30840.693</v>
      </c>
      <c r="F62" s="17" t="n">
        <f aca="false">F28+F29-F35</f>
        <v>26876</v>
      </c>
      <c r="G62" s="17" t="n">
        <f aca="false">G28+G29-G35</f>
        <v>22645</v>
      </c>
      <c r="H62" s="17" t="n">
        <f aca="false">H28+H29-H35</f>
        <v>17473</v>
      </c>
      <c r="I62" s="17" t="n">
        <f aca="false">I28+I29-I35</f>
        <v>16896</v>
      </c>
      <c r="J62" s="17" t="n">
        <f aca="false">J28+J29-J35</f>
        <v>14684</v>
      </c>
      <c r="K62" s="17" t="n">
        <f aca="false">K28+K29-K35</f>
        <v>13845</v>
      </c>
      <c r="L62" s="2" t="s">
        <v>228</v>
      </c>
    </row>
    <row r="63" customFormat="false" ht="15" hidden="false" customHeight="false" outlineLevel="0" collapsed="false">
      <c r="B63" s="15" t="s">
        <v>229</v>
      </c>
      <c r="C63" s="17" t="n">
        <f aca="false">C26+C27</f>
        <v>22412.547</v>
      </c>
      <c r="D63" s="17" t="n">
        <f aca="false">D26+D27</f>
        <v>29627.092</v>
      </c>
      <c r="E63" s="17" t="n">
        <f aca="false">E26+E27</f>
        <v>70085.566</v>
      </c>
      <c r="F63" s="17" t="n">
        <f aca="false">F26+F27</f>
        <v>66437</v>
      </c>
      <c r="G63" s="17" t="n">
        <f aca="false">G26+G27</f>
        <v>25031</v>
      </c>
      <c r="H63" s="17" t="n">
        <f aca="false">H26+H27</f>
        <v>17724</v>
      </c>
      <c r="I63" s="17" t="n">
        <f aca="false">I26+I27</f>
        <v>31002</v>
      </c>
      <c r="J63" s="17" t="n">
        <f aca="false">J26+J27</f>
        <v>41629</v>
      </c>
      <c r="K63" s="17" t="n">
        <f aca="false">K26+K27</f>
        <v>29842</v>
      </c>
      <c r="L63" s="2" t="s">
        <v>230</v>
      </c>
    </row>
    <row r="64" customFormat="false" ht="15" hidden="false" customHeight="false" outlineLevel="0" collapsed="false">
      <c r="B64" s="15" t="s">
        <v>231</v>
      </c>
      <c r="C64" s="17" t="n">
        <f aca="false">C36+C38</f>
        <v>59927.954</v>
      </c>
      <c r="D64" s="17" t="n">
        <f aca="false">D36+D38</f>
        <v>59842.73</v>
      </c>
      <c r="E64" s="17" t="n">
        <f aca="false">E36+E38</f>
        <v>78089.095</v>
      </c>
      <c r="F64" s="17" t="n">
        <f aca="false">F36+F38</f>
        <v>76909</v>
      </c>
      <c r="G64" s="17" t="n">
        <f aca="false">G36+G38</f>
        <v>66330</v>
      </c>
      <c r="H64" s="17" t="n">
        <f aca="false">H36+H38</f>
        <v>67404</v>
      </c>
      <c r="I64" s="17" t="n">
        <f aca="false">I36+I38</f>
        <v>96012</v>
      </c>
      <c r="J64" s="17" t="n">
        <f aca="false">J36+J38</f>
        <v>103457</v>
      </c>
      <c r="K64" s="17" t="n">
        <f aca="false">K36+K38</f>
        <v>98034</v>
      </c>
      <c r="L64" s="2" t="s">
        <v>232</v>
      </c>
    </row>
    <row r="65" customFormat="false" ht="15" hidden="false" customHeight="false" outlineLevel="0" collapsed="false">
      <c r="B65" s="15" t="s">
        <v>233</v>
      </c>
      <c r="C65" s="17" t="n">
        <f aca="false">C64-C63</f>
        <v>37515.407</v>
      </c>
      <c r="D65" s="17" t="n">
        <f aca="false">D64-D63</f>
        <v>30215.638</v>
      </c>
      <c r="E65" s="17" t="n">
        <f aca="false">E64-E63</f>
        <v>8003.529</v>
      </c>
      <c r="F65" s="17" t="n">
        <f aca="false">F64-F63</f>
        <v>10472</v>
      </c>
      <c r="G65" s="17" t="n">
        <f aca="false">G64-G63</f>
        <v>41299</v>
      </c>
      <c r="H65" s="17" t="n">
        <f aca="false">H64-H63</f>
        <v>49680</v>
      </c>
      <c r="I65" s="17" t="n">
        <f aca="false">I64-I63</f>
        <v>65010</v>
      </c>
      <c r="J65" s="17" t="n">
        <f aca="false">J64-J63</f>
        <v>61828</v>
      </c>
      <c r="K65" s="17" t="n">
        <f aca="false">K64-K63</f>
        <v>68192</v>
      </c>
      <c r="L65" s="2" t="s">
        <v>234</v>
      </c>
    </row>
    <row r="66" customFormat="false" ht="15" hidden="false" customHeight="false" outlineLevel="0" collapsed="false">
      <c r="B66" s="15" t="s">
        <v>235</v>
      </c>
      <c r="C66" s="29" t="n">
        <f aca="false">C65/C43</f>
        <v>0.676994032573932</v>
      </c>
      <c r="D66" s="29" t="n">
        <f aca="false">D65/D43</f>
        <v>1.77838343621038</v>
      </c>
      <c r="E66" s="29" t="n">
        <f aca="false">E65/E43</f>
        <v>0.116420328534693</v>
      </c>
      <c r="F66" s="29" t="n">
        <f aca="false">F65/F43</f>
        <v>0.0663986710120852</v>
      </c>
      <c r="G66" s="29" t="n">
        <f aca="false">G65/G43</f>
        <v>0.387013644201215</v>
      </c>
      <c r="H66" s="29" t="n">
        <f aca="false">H65/H43</f>
        <v>0.616591371692399</v>
      </c>
      <c r="I66" s="29" t="n">
        <f aca="false">I65/I43</f>
        <v>0.903117359413203</v>
      </c>
      <c r="J66" s="29" t="n">
        <f aca="false">J65/J43</f>
        <v>1.25475393201421</v>
      </c>
      <c r="K66" s="29" t="n">
        <f aca="false">K65/K43</f>
        <v>1.31307646390542</v>
      </c>
      <c r="L66" s="2" t="s">
        <v>236</v>
      </c>
    </row>
    <row r="67" customFormat="false" ht="15" hidden="false" customHeight="false" outlineLevel="0" collapsed="false">
      <c r="B67" s="15" t="s">
        <v>237</v>
      </c>
      <c r="C67" s="30" t="n">
        <f aca="false">C30/C37</f>
        <v>1.66840326942887</v>
      </c>
      <c r="D67" s="30" t="n">
        <f aca="false">D30/D37</f>
        <v>1.2310143217772</v>
      </c>
      <c r="E67" s="30" t="n">
        <f aca="false">E30/E37</f>
        <v>1.67206392509037</v>
      </c>
      <c r="F67" s="30" t="n">
        <f aca="false">F30/F37</f>
        <v>1.47145518428561</v>
      </c>
      <c r="G67" s="30" t="n">
        <f aca="false">G30/G37</f>
        <v>1.1177046828003</v>
      </c>
      <c r="H67" s="30" t="n">
        <f aca="false">H30/H37</f>
        <v>1.27599086655015</v>
      </c>
      <c r="I67" s="30" t="n">
        <f aca="false">I30/I37</f>
        <v>1.02986860773549</v>
      </c>
      <c r="J67" s="30" t="n">
        <f aca="false">J30/J37</f>
        <v>1.15259963353184</v>
      </c>
      <c r="K67" s="30" t="n">
        <f aca="false">K30/K37</f>
        <v>1.19175260420062</v>
      </c>
      <c r="L67" s="2" t="s">
        <v>238</v>
      </c>
    </row>
    <row r="68" customFormat="false" ht="15" hidden="false" customHeight="false" outlineLevel="0" collapsed="false">
      <c r="B68" s="15" t="s">
        <v>239</v>
      </c>
      <c r="C68" s="11" t="n">
        <f aca="false">C19/(C39-C40)</f>
        <v>0.150564146822479</v>
      </c>
      <c r="D68" s="11" t="n">
        <f aca="false">D19/(D39-D40)</f>
        <v>-0.0413142965426742</v>
      </c>
      <c r="E68" s="11" t="n">
        <f aca="false">E19/(E39-E40)</f>
        <v>0.14378295351854</v>
      </c>
      <c r="F68" s="11" t="n">
        <f aca="false">F19/(F39-F40)</f>
        <v>0.63007333565485</v>
      </c>
      <c r="G68" s="11" t="n">
        <f aca="false">G19/(G39-G40)</f>
        <v>0.5126555218265</v>
      </c>
      <c r="H68" s="11" t="n">
        <f aca="false">H19/(H39-H40)</f>
        <v>0.209148273243788</v>
      </c>
      <c r="I68" s="11" t="n">
        <f aca="false">I19/(I39-I40)</f>
        <v>0.152786644226491</v>
      </c>
      <c r="J68" s="11" t="n">
        <f aca="false">J19/(J39-J40)</f>
        <v>0.0749542862413795</v>
      </c>
      <c r="K68" s="11" t="n">
        <f aca="false">K19/(K39-K40)</f>
        <v>0.0527322195946805</v>
      </c>
      <c r="L68" s="2" t="s">
        <v>240</v>
      </c>
    </row>
    <row r="69" customFormat="false" ht="15" hidden="false" customHeight="false" outlineLevel="0" collapsed="false">
      <c r="B69" s="15" t="s">
        <v>241</v>
      </c>
      <c r="C69" s="11" t="n">
        <f aca="false">C47/(C62+C55)</f>
        <v>0.123941303489504</v>
      </c>
      <c r="D69" s="11" t="n">
        <f aca="false">D47/(D62+D55)</f>
        <v>0.0138786317933857</v>
      </c>
      <c r="E69" s="11" t="n">
        <f aca="false">E47/(E62+E55)</f>
        <v>0.129536826970949</v>
      </c>
      <c r="F69" s="11" t="n">
        <f aca="false">F47/(F62+F55)</f>
        <v>0.314522268429544</v>
      </c>
      <c r="G69" s="11" t="n">
        <f aca="false">G47/(G62+G55)</f>
        <v>0.188539244794518</v>
      </c>
      <c r="H69" s="11" t="n">
        <f aca="false">H47/(H62+H55)</f>
        <v>0.151471546721024</v>
      </c>
      <c r="I69" s="11" t="n">
        <f aca="false">I47/(I62+I55)</f>
        <v>0.114198152277795</v>
      </c>
      <c r="J69" s="11" t="n">
        <f aca="false">J47/(J62+J55)</f>
        <v>0.071950063325493</v>
      </c>
      <c r="K69" s="11" t="n">
        <f aca="false">K47/(K62+K55)</f>
        <v>0.0753334786399302</v>
      </c>
      <c r="L69" s="2" t="s">
        <v>242</v>
      </c>
    </row>
    <row r="70" customFormat="false" ht="15" hidden="false" customHeight="false" outlineLevel="0" collapsed="false">
      <c r="B70" s="15" t="s">
        <v>243</v>
      </c>
      <c r="C70" s="17" t="n">
        <f aca="false">C22-C23</f>
        <v>33952.238</v>
      </c>
      <c r="D70" s="17" t="n">
        <f aca="false">D22-D23</f>
        <v>32509.785</v>
      </c>
      <c r="E70" s="17" t="n">
        <f aca="false">E22-E23</f>
        <v>52482.237</v>
      </c>
      <c r="F70" s="17" t="n">
        <f aca="false">F22-F23</f>
        <v>109465</v>
      </c>
      <c r="G70" s="17" t="n">
        <f aca="false">G22-G23</f>
        <v>30017</v>
      </c>
      <c r="H70" s="17" t="n">
        <f aca="false">H22-H23</f>
        <v>36459</v>
      </c>
      <c r="I70" s="17" t="n">
        <f aca="false">I22-I23</f>
        <v>15101</v>
      </c>
      <c r="J70" s="17" t="n">
        <f aca="false">J22-J23</f>
        <v>15375</v>
      </c>
      <c r="K70" s="17" t="n">
        <f aca="false">K22-K23</f>
        <v>18751</v>
      </c>
      <c r="L70" s="2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8" min="3" style="0" width="13"/>
    <col collapsed="false" customWidth="true" hidden="false" outlineLevel="0" max="9" min="9" style="0" width="100"/>
  </cols>
  <sheetData>
    <row r="1" customFormat="false" ht="17.35" hidden="false" customHeight="false" outlineLevel="0" collapsed="false">
      <c r="B1" s="1" t="str">
        <f aca="false">"Projeção - "&amp;Painel!$D$5</f>
        <v>Projeção - Vale (VALE3)</v>
      </c>
    </row>
    <row r="2" customFormat="false" ht="15" hidden="false" customHeight="false" outlineLevel="0" collapsed="false">
      <c r="B2" s="2" t="s">
        <v>245</v>
      </c>
    </row>
    <row r="4" customFormat="false" ht="15" hidden="false" customHeight="false" outlineLevel="0" collapsed="false">
      <c r="B4" s="8" t="s">
        <v>108</v>
      </c>
      <c r="C4" s="9" t="n">
        <v>2025</v>
      </c>
      <c r="D4" s="9" t="s">
        <v>246</v>
      </c>
      <c r="E4" s="9" t="s">
        <v>247</v>
      </c>
      <c r="F4" s="9" t="s">
        <v>248</v>
      </c>
      <c r="G4" s="9" t="s">
        <v>249</v>
      </c>
      <c r="H4" s="9" t="s">
        <v>250</v>
      </c>
      <c r="I4" s="8" t="s">
        <v>251</v>
      </c>
    </row>
    <row r="5" customFormat="false" ht="15" hidden="false" customHeight="false" outlineLevel="0" collapsed="false">
      <c r="B5" s="26" t="s">
        <v>252</v>
      </c>
      <c r="C5" s="27"/>
      <c r="D5" s="27"/>
      <c r="E5" s="27"/>
      <c r="F5" s="27"/>
      <c r="G5" s="27"/>
      <c r="H5" s="27"/>
    </row>
    <row r="6" customFormat="false" ht="15" hidden="false" customHeight="false" outlineLevel="0" collapsed="false">
      <c r="B6" s="15" t="s">
        <v>199</v>
      </c>
      <c r="D6" s="11" t="n">
        <f aca="false">Premissas!$C$7</f>
        <v>0.0209</v>
      </c>
      <c r="E6" s="11" t="n">
        <f aca="false">Painel!$C$10</f>
        <v>0.0378</v>
      </c>
      <c r="F6" s="11" t="n">
        <f aca="false">Painel!$C$10</f>
        <v>0.0378</v>
      </c>
      <c r="G6" s="11" t="n">
        <f aca="false">Painel!$C$10</f>
        <v>0.0378</v>
      </c>
      <c r="H6" s="11" t="n">
        <f aca="false">Painel!$C$10</f>
        <v>0.0378</v>
      </c>
      <c r="I6" s="2" t="s">
        <v>253</v>
      </c>
    </row>
    <row r="7" customFormat="false" ht="15" hidden="false" customHeight="false" outlineLevel="0" collapsed="false">
      <c r="B7" s="15" t="s">
        <v>203</v>
      </c>
      <c r="D7" s="11" t="n">
        <f aca="false">Premissas!$C$8+(Painel!$C$11-Premissas!$C$8)*0/4</f>
        <v>0.3459</v>
      </c>
      <c r="E7" s="11" t="n">
        <f aca="false">Premissas!$C$8+(Painel!$C$11-Premissas!$C$8)*1/4</f>
        <v>0.357825</v>
      </c>
      <c r="F7" s="11" t="n">
        <f aca="false">Premissas!$C$8+(Painel!$C$11-Premissas!$C$8)*2/4</f>
        <v>0.36975</v>
      </c>
      <c r="G7" s="11" t="n">
        <f aca="false">Premissas!$C$8+(Painel!$C$11-Premissas!$C$8)*3/4</f>
        <v>0.381675</v>
      </c>
      <c r="H7" s="11" t="n">
        <f aca="false">Premissas!$C$8+(Painel!$C$11-Premissas!$C$8)*4/4</f>
        <v>0.3936</v>
      </c>
      <c r="I7" s="2" t="s">
        <v>254</v>
      </c>
    </row>
    <row r="9" customFormat="false" ht="15" hidden="false" customHeight="false" outlineLevel="0" collapsed="false">
      <c r="B9" s="26" t="s">
        <v>118</v>
      </c>
      <c r="C9" s="27"/>
      <c r="D9" s="27"/>
      <c r="E9" s="27"/>
      <c r="F9" s="27"/>
      <c r="G9" s="27"/>
      <c r="H9" s="27"/>
    </row>
    <row r="10" customFormat="false" ht="15" hidden="false" customHeight="false" outlineLevel="0" collapsed="false">
      <c r="B10" s="4" t="s">
        <v>119</v>
      </c>
      <c r="C10" s="31" t="n">
        <f aca="false">Demonstrativos!J6</f>
        <v>213595</v>
      </c>
      <c r="D10" s="31" t="n">
        <f aca="false">C10*(1+D6)</f>
        <v>218059.1355</v>
      </c>
      <c r="E10" s="31" t="n">
        <f aca="false">D10*(1+E6)</f>
        <v>226301.7708219</v>
      </c>
      <c r="F10" s="31" t="n">
        <f aca="false">E10*(1+F6)</f>
        <v>234855.977758968</v>
      </c>
      <c r="G10" s="31" t="n">
        <f aca="false">F10*(1+G6)</f>
        <v>243733.533718257</v>
      </c>
      <c r="H10" s="31" t="n">
        <f aca="false">G10*(1+H6)</f>
        <v>252946.661292807</v>
      </c>
      <c r="I10" s="2" t="s">
        <v>255</v>
      </c>
    </row>
    <row r="11" customFormat="false" ht="15" hidden="false" customHeight="false" outlineLevel="0" collapsed="false">
      <c r="B11" s="15" t="s">
        <v>256</v>
      </c>
      <c r="C11" s="17" t="n">
        <f aca="false">-Demonstrativos!J45</f>
        <v>121581</v>
      </c>
      <c r="D11" s="17" t="n">
        <f aca="false">D10-D12+D13-D14</f>
        <v>122963.57228405</v>
      </c>
      <c r="E11" s="17" t="n">
        <f aca="false">E10-E12+E13-E14</f>
        <v>125311.745355569</v>
      </c>
      <c r="F11" s="17" t="n">
        <f aca="false">F10-F12+F13-F14</f>
        <v>127659.501761872</v>
      </c>
      <c r="G11" s="17" t="n">
        <f aca="false">G10-G12+G13-G14</f>
        <v>130003.454839458</v>
      </c>
      <c r="H11" s="17" t="n">
        <f aca="false">H10-H12+H13-H14</f>
        <v>132339.962488412</v>
      </c>
      <c r="I11" s="2" t="s">
        <v>257</v>
      </c>
    </row>
    <row r="12" customFormat="false" ht="15" hidden="false" customHeight="false" outlineLevel="0" collapsed="false">
      <c r="B12" s="15" t="s">
        <v>258</v>
      </c>
      <c r="C12" s="17" t="n">
        <f aca="false">-(Demonstrativos!J9+Demonstrativos!J10+Demonstrativos!J46)</f>
        <v>41569</v>
      </c>
      <c r="D12" s="17" t="n">
        <f aca="false">D10*Premissas!$D$12</f>
        <v>18098.9082465</v>
      </c>
      <c r="E12" s="17" t="n">
        <f aca="false">E10*Premissas!$E$12</f>
        <v>18443.5943219849</v>
      </c>
      <c r="F12" s="17" t="n">
        <f aca="false">F10*Premissas!$F$12</f>
        <v>18788.4782207174</v>
      </c>
      <c r="G12" s="17" t="n">
        <f aca="false">G10*Premissas!$G$12</f>
        <v>19133.0823968832</v>
      </c>
      <c r="H12" s="17" t="n">
        <f aca="false">H10*Premissas!$H$12</f>
        <v>19476.8929195461</v>
      </c>
      <c r="I12" s="2" t="s">
        <v>259</v>
      </c>
    </row>
    <row r="13" customFormat="false" ht="15" hidden="false" customHeight="false" outlineLevel="0" collapsed="false">
      <c r="B13" s="15" t="s">
        <v>260</v>
      </c>
      <c r="C13" s="17" t="n">
        <f aca="false">Demonstrativos!J13</f>
        <v>-1170</v>
      </c>
      <c r="D13" s="17" t="n">
        <f aca="false">Premissas!$D$13</f>
        <v>-1570</v>
      </c>
      <c r="E13" s="17" t="n">
        <f aca="false">Premissas!$E$13</f>
        <v>-1570</v>
      </c>
      <c r="F13" s="17" t="n">
        <f aca="false">Premissas!$F$13</f>
        <v>-1570</v>
      </c>
      <c r="G13" s="17" t="n">
        <f aca="false">Premissas!$G$13</f>
        <v>-1570</v>
      </c>
      <c r="H13" s="17" t="n">
        <f aca="false">Premissas!$H$13</f>
        <v>-1570</v>
      </c>
      <c r="I13" s="2" t="s">
        <v>261</v>
      </c>
    </row>
    <row r="14" customFormat="false" ht="15" hidden="false" customHeight="false" outlineLevel="0" collapsed="false">
      <c r="B14" s="4" t="s">
        <v>262</v>
      </c>
      <c r="C14" s="31" t="n">
        <f aca="false">C10-C11-C12+C13</f>
        <v>49275</v>
      </c>
      <c r="D14" s="31" t="n">
        <f aca="false">D10*D7</f>
        <v>75426.65496945</v>
      </c>
      <c r="E14" s="31" t="n">
        <f aca="false">E10*E7</f>
        <v>80976.4311443464</v>
      </c>
      <c r="F14" s="31" t="n">
        <f aca="false">F10*F7</f>
        <v>86837.9977763784</v>
      </c>
      <c r="G14" s="31" t="n">
        <f aca="false">G10*G7</f>
        <v>93026.9964819157</v>
      </c>
      <c r="H14" s="31" t="n">
        <f aca="false">H10*H7</f>
        <v>99559.8058848488</v>
      </c>
      <c r="I14" s="2" t="s">
        <v>263</v>
      </c>
    </row>
    <row r="15" customFormat="false" ht="15" hidden="false" customHeight="false" outlineLevel="0" collapsed="false">
      <c r="B15" s="15" t="s">
        <v>264</v>
      </c>
      <c r="C15" s="17" t="n">
        <f aca="false">Demonstrativos!J21</f>
        <v>17306</v>
      </c>
      <c r="D15" s="17" t="n">
        <f aca="false">C26*Premissas!$D$15</f>
        <v>16461.2269</v>
      </c>
      <c r="E15" s="17" t="n">
        <f aca="false">D26*Premissas!$E$15</f>
        <v>17336.0875516427</v>
      </c>
      <c r="F15" s="17" t="n">
        <f aca="false">E26*Premissas!$F$15</f>
        <v>18215.4792730443</v>
      </c>
      <c r="G15" s="17" t="n">
        <f aca="false">F26*Premissas!$G$15</f>
        <v>19100.6617807471</v>
      </c>
      <c r="H15" s="17" t="n">
        <f aca="false">G26*Premissas!$H$15</f>
        <v>19992.8602378074</v>
      </c>
      <c r="I15" s="2" t="s">
        <v>265</v>
      </c>
    </row>
    <row r="16" customFormat="false" ht="15" hidden="false" customHeight="false" outlineLevel="0" collapsed="false">
      <c r="B16" s="4" t="s">
        <v>266</v>
      </c>
      <c r="C16" s="31" t="n">
        <f aca="false">C14-C15</f>
        <v>31969</v>
      </c>
      <c r="D16" s="31" t="n">
        <f aca="false">D14-D15</f>
        <v>58965.42806945</v>
      </c>
      <c r="E16" s="31" t="n">
        <f aca="false">E14-E15</f>
        <v>63640.3435927037</v>
      </c>
      <c r="F16" s="31" t="n">
        <f aca="false">F14-F15</f>
        <v>68622.518503334</v>
      </c>
      <c r="G16" s="31" t="n">
        <f aca="false">G14-G15</f>
        <v>73926.3347011686</v>
      </c>
      <c r="H16" s="31" t="n">
        <f aca="false">H14-H15</f>
        <v>79566.9456470415</v>
      </c>
      <c r="I16" s="2" t="s">
        <v>267</v>
      </c>
    </row>
    <row r="17" customFormat="false" ht="15" hidden="false" customHeight="false" outlineLevel="0" collapsed="false">
      <c r="B17" s="15" t="s">
        <v>268</v>
      </c>
      <c r="D17" s="17" t="n">
        <f aca="false">C38*Premissas!$D$25</f>
        <v>3896.4744</v>
      </c>
      <c r="E17" s="17" t="n">
        <f aca="false">D38*Premissas!$D$25</f>
        <v>3693.02185404644</v>
      </c>
      <c r="F17" s="17" t="n">
        <f aca="false">E38*Premissas!$D$25</f>
        <v>3548.33432871972</v>
      </c>
      <c r="G17" s="17" t="n">
        <f aca="false">F38*Premissas!$D$25</f>
        <v>3488.32384932126</v>
      </c>
      <c r="H17" s="17" t="n">
        <f aca="false">G38*Premissas!$D$25</f>
        <v>3518.97246691831</v>
      </c>
      <c r="I17" s="2" t="s">
        <v>269</v>
      </c>
    </row>
    <row r="18" customFormat="false" ht="15" hidden="false" customHeight="false" outlineLevel="0" collapsed="false">
      <c r="B18" s="15" t="s">
        <v>270</v>
      </c>
      <c r="D18" s="17" t="n">
        <f aca="false">C42*Premissas!$D$23</f>
        <v>5793.592</v>
      </c>
      <c r="E18" s="17" t="n">
        <f aca="false">D42*Premissas!$D$23</f>
        <v>5793.592</v>
      </c>
      <c r="F18" s="17" t="n">
        <f aca="false">E42*Premissas!$D$23</f>
        <v>5793.592</v>
      </c>
      <c r="G18" s="17" t="n">
        <f aca="false">F42*Premissas!$D$23</f>
        <v>5793.592</v>
      </c>
      <c r="H18" s="17" t="n">
        <f aca="false">G42*Premissas!$D$23</f>
        <v>5793.592</v>
      </c>
      <c r="I18" s="2" t="s">
        <v>271</v>
      </c>
    </row>
    <row r="19" customFormat="false" ht="15" hidden="false" customHeight="false" outlineLevel="0" collapsed="false">
      <c r="B19" s="15" t="s">
        <v>272</v>
      </c>
      <c r="C19" s="17" t="n">
        <f aca="false">Demonstrativos!J15</f>
        <v>-5276</v>
      </c>
      <c r="D19" s="17" t="n">
        <f aca="false">D17-D18</f>
        <v>-1897.1176</v>
      </c>
      <c r="E19" s="17" t="n">
        <f aca="false">E17-E18</f>
        <v>-2100.57014595356</v>
      </c>
      <c r="F19" s="17" t="n">
        <f aca="false">F17-F18</f>
        <v>-2245.25767128028</v>
      </c>
      <c r="G19" s="17" t="n">
        <f aca="false">G17-G18</f>
        <v>-2305.26815067874</v>
      </c>
      <c r="H19" s="17" t="n">
        <f aca="false">H17-H18</f>
        <v>-2274.61953308169</v>
      </c>
      <c r="I19" s="2" t="s">
        <v>273</v>
      </c>
    </row>
    <row r="20" customFormat="false" ht="15" hidden="false" customHeight="false" outlineLevel="0" collapsed="false">
      <c r="B20" s="15" t="s">
        <v>139</v>
      </c>
      <c r="C20" s="17" t="n">
        <f aca="false">C16+C19</f>
        <v>26693</v>
      </c>
      <c r="D20" s="17" t="n">
        <f aca="false">D16+D19</f>
        <v>57068.31046945</v>
      </c>
      <c r="E20" s="17" t="n">
        <f aca="false">E16+E19</f>
        <v>61539.7734467501</v>
      </c>
      <c r="F20" s="17" t="n">
        <f aca="false">F16+F19</f>
        <v>66377.2608320537</v>
      </c>
      <c r="G20" s="17" t="n">
        <f aca="false">G16+G19</f>
        <v>71621.0665504898</v>
      </c>
      <c r="H20" s="17" t="n">
        <f aca="false">H16+H19</f>
        <v>77292.3261139598</v>
      </c>
      <c r="I20" s="2" t="s">
        <v>274</v>
      </c>
    </row>
    <row r="21" customFormat="false" ht="15" hidden="false" customHeight="false" outlineLevel="0" collapsed="false">
      <c r="B21" s="15" t="s">
        <v>275</v>
      </c>
      <c r="C21" s="17" t="n">
        <f aca="false">-Demonstrativos!J17</f>
        <v>14882</v>
      </c>
      <c r="D21" s="17" t="n">
        <f aca="false">MAX(0,D20-D13)*Premissas!$D$22</f>
        <v>19937.025559613</v>
      </c>
      <c r="E21" s="17" t="n">
        <f aca="false">MAX(0,E20-E13)*Premissas!$D$22</f>
        <v>21457.322971895</v>
      </c>
      <c r="F21" s="17" t="n">
        <f aca="false">MAX(0,F20-F13)*Premissas!$D$22</f>
        <v>23102.0686828983</v>
      </c>
      <c r="G21" s="17" t="n">
        <f aca="false">MAX(0,G20-G13)*Premissas!$D$22</f>
        <v>24884.9626271665</v>
      </c>
      <c r="H21" s="17" t="n">
        <f aca="false">MAX(0,H20-H13)*Premissas!$D$22</f>
        <v>26813.1908787463</v>
      </c>
      <c r="I21" s="2" t="s">
        <v>276</v>
      </c>
    </row>
    <row r="22" customFormat="false" ht="15" hidden="false" customHeight="false" outlineLevel="0" collapsed="false">
      <c r="B22" s="4" t="s">
        <v>277</v>
      </c>
      <c r="C22" s="31" t="n">
        <f aca="false">C20-C21</f>
        <v>11811</v>
      </c>
      <c r="D22" s="31" t="n">
        <f aca="false">D20-D21</f>
        <v>37131.284909837</v>
      </c>
      <c r="E22" s="31" t="n">
        <f aca="false">E20-E21</f>
        <v>40082.4504748551</v>
      </c>
      <c r="F22" s="31" t="n">
        <f aca="false">F20-F21</f>
        <v>43275.1921491555</v>
      </c>
      <c r="G22" s="31" t="n">
        <f aca="false">G20-G21</f>
        <v>46736.1039233233</v>
      </c>
      <c r="H22" s="31" t="n">
        <f aca="false">H20-H21</f>
        <v>50479.1352352134</v>
      </c>
      <c r="I22" s="2" t="s">
        <v>278</v>
      </c>
    </row>
    <row r="24" customFormat="false" ht="15" hidden="false" customHeight="false" outlineLevel="0" collapsed="false">
      <c r="B24" s="26" t="s">
        <v>279</v>
      </c>
      <c r="C24" s="27"/>
      <c r="D24" s="27"/>
      <c r="E24" s="27"/>
      <c r="F24" s="27"/>
      <c r="G24" s="27"/>
      <c r="H24" s="27"/>
    </row>
    <row r="25" customFormat="false" ht="15" hidden="false" customHeight="false" outlineLevel="0" collapsed="false">
      <c r="B25" s="15" t="s">
        <v>280</v>
      </c>
      <c r="C25" s="17" t="n">
        <f aca="false">Demonstrativos!J23</f>
        <v>33390</v>
      </c>
      <c r="D25" s="17" t="n">
        <f aca="false">D10*Premissas!$D$14</f>
        <v>31836.633783</v>
      </c>
      <c r="E25" s="17" t="n">
        <f aca="false">E10*Premissas!$E$14</f>
        <v>32791.1265920933</v>
      </c>
      <c r="F25" s="17" t="n">
        <f aca="false">F10*Premissas!$F$14</f>
        <v>33772.2896017396</v>
      </c>
      <c r="G25" s="17" t="n">
        <f aca="false">G10*Premissas!$G$14</f>
        <v>34780.7752615952</v>
      </c>
      <c r="H25" s="17" t="n">
        <f aca="false">H10*Premissas!$H$14</f>
        <v>35791.9525729322</v>
      </c>
      <c r="I25" s="2" t="s">
        <v>281</v>
      </c>
    </row>
    <row r="26" customFormat="false" ht="15" hidden="false" customHeight="false" outlineLevel="0" collapsed="false">
      <c r="B26" s="15" t="s">
        <v>213</v>
      </c>
      <c r="C26" s="17" t="n">
        <f aca="false">Demonstrativos!J55</f>
        <v>289301</v>
      </c>
      <c r="D26" s="17" t="n">
        <f aca="false">C26+D25-D15</f>
        <v>304676.406883</v>
      </c>
      <c r="E26" s="17" t="n">
        <f aca="false">D26+E25-E15</f>
        <v>320131.445923451</v>
      </c>
      <c r="F26" s="17" t="n">
        <f aca="false">E26+F25-F15</f>
        <v>335688.256252146</v>
      </c>
      <c r="G26" s="17" t="n">
        <f aca="false">F26+G25-G15</f>
        <v>351368.369732994</v>
      </c>
      <c r="H26" s="17" t="n">
        <f aca="false">G26+H25-H15</f>
        <v>367167.462068119</v>
      </c>
      <c r="I26" s="2" t="s">
        <v>282</v>
      </c>
    </row>
    <row r="27" customFormat="false" ht="15" hidden="false" customHeight="false" outlineLevel="0" collapsed="false">
      <c r="B27" s="15" t="s">
        <v>161</v>
      </c>
      <c r="C27" s="17" t="n">
        <f aca="false">Demonstrativos!J28</f>
        <v>12639</v>
      </c>
      <c r="D27" s="17" t="n">
        <f aca="false">D10*Premissas!$D$16/365</f>
        <v>12903.1265987096</v>
      </c>
      <c r="E27" s="17" t="n">
        <f aca="false">E10*Premissas!$E$16/365</f>
        <v>13390.8647841408</v>
      </c>
      <c r="F27" s="17" t="n">
        <f aca="false">F10*Premissas!$F$16/365</f>
        <v>13897.0394729813</v>
      </c>
      <c r="G27" s="17" t="n">
        <f aca="false">G10*Premissas!$G$16/365</f>
        <v>14422.34756506</v>
      </c>
      <c r="H27" s="17" t="n">
        <f aca="false">H10*Premissas!$H$16/365</f>
        <v>14967.5123030193</v>
      </c>
      <c r="I27" s="2" t="s">
        <v>283</v>
      </c>
    </row>
    <row r="28" customFormat="false" ht="15" hidden="false" customHeight="false" outlineLevel="0" collapsed="false">
      <c r="B28" s="15" t="s">
        <v>163</v>
      </c>
      <c r="C28" s="17" t="n">
        <f aca="false">Demonstrativos!J29</f>
        <v>32666</v>
      </c>
      <c r="D28" s="17" t="n">
        <f aca="false">D11*Premissas!$D$17/365</f>
        <v>33037.4483374793</v>
      </c>
      <c r="E28" s="17" t="n">
        <f aca="false">E11*Premissas!$E$17/365</f>
        <v>33668.3477583139</v>
      </c>
      <c r="F28" s="17" t="n">
        <f aca="false">F11*Premissas!$F$17/365</f>
        <v>34299.1352309082</v>
      </c>
      <c r="G28" s="17" t="n">
        <f aca="false">G11*Premissas!$G$17/365</f>
        <v>34928.9008376469</v>
      </c>
      <c r="H28" s="17" t="n">
        <f aca="false">H11*Premissas!$H$17/365</f>
        <v>35556.6660310989</v>
      </c>
      <c r="I28" s="2" t="s">
        <v>284</v>
      </c>
    </row>
    <row r="29" customFormat="false" ht="15" hidden="false" customHeight="false" outlineLevel="0" collapsed="false">
      <c r="B29" s="15" t="s">
        <v>175</v>
      </c>
      <c r="C29" s="17" t="n">
        <f aca="false">Demonstrativos!J35</f>
        <v>30621</v>
      </c>
      <c r="D29" s="17" t="n">
        <f aca="false">D11*Premissas!$D$18/365</f>
        <v>30969.2010516615</v>
      </c>
      <c r="E29" s="17" t="n">
        <f aca="false">E11*Premissas!$E$18/365</f>
        <v>31560.6042014332</v>
      </c>
      <c r="F29" s="17" t="n">
        <f aca="false">F11*Premissas!$F$18/365</f>
        <v>32151.9024112735</v>
      </c>
      <c r="G29" s="17" t="n">
        <f aca="false">G11*Premissas!$G$18/365</f>
        <v>32742.2427272472</v>
      </c>
      <c r="H29" s="17" t="n">
        <f aca="false">H11*Premissas!$H$18/365</f>
        <v>33330.7078620438</v>
      </c>
      <c r="I29" s="2" t="s">
        <v>285</v>
      </c>
    </row>
    <row r="30" customFormat="false" ht="15" hidden="false" customHeight="false" outlineLevel="0" collapsed="false">
      <c r="B30" s="4" t="s">
        <v>286</v>
      </c>
      <c r="C30" s="31" t="n">
        <f aca="false">C27+C28-C29</f>
        <v>14684</v>
      </c>
      <c r="D30" s="31" t="n">
        <f aca="false">D27+D28-D29</f>
        <v>14971.3738845273</v>
      </c>
      <c r="E30" s="31" t="n">
        <f aca="false">E27+E28-E29</f>
        <v>15498.6083410215</v>
      </c>
      <c r="F30" s="31" t="n">
        <f aca="false">F27+F28-F29</f>
        <v>16044.272292616</v>
      </c>
      <c r="G30" s="31" t="n">
        <f aca="false">G27+G28-G29</f>
        <v>16609.0056754597</v>
      </c>
      <c r="H30" s="31" t="n">
        <f aca="false">H27+H28-H29</f>
        <v>17193.4704720744</v>
      </c>
      <c r="I30" s="2" t="s">
        <v>287</v>
      </c>
    </row>
    <row r="31" customFormat="false" ht="15" hidden="false" customHeight="false" outlineLevel="0" collapsed="false">
      <c r="B31" s="15" t="s">
        <v>288</v>
      </c>
      <c r="D31" s="17" t="n">
        <f aca="false">D30-C30</f>
        <v>287.373884527304</v>
      </c>
      <c r="E31" s="17" t="n">
        <f aca="false">E30-D30</f>
        <v>527.234456494167</v>
      </c>
      <c r="F31" s="17" t="n">
        <f aca="false">F30-E30</f>
        <v>545.663951594546</v>
      </c>
      <c r="G31" s="17" t="n">
        <f aca="false">G30-F30</f>
        <v>564.73338284369</v>
      </c>
      <c r="H31" s="17" t="n">
        <f aca="false">H30-G30</f>
        <v>584.464796614677</v>
      </c>
      <c r="I31" s="2" t="s">
        <v>289</v>
      </c>
    </row>
    <row r="33" customFormat="false" ht="15" hidden="false" customHeight="false" outlineLevel="0" collapsed="false">
      <c r="B33" s="26" t="s">
        <v>290</v>
      </c>
      <c r="C33" s="27"/>
      <c r="D33" s="27"/>
      <c r="E33" s="27"/>
      <c r="F33" s="27"/>
      <c r="G33" s="27"/>
      <c r="H33" s="27"/>
    </row>
    <row r="34" customFormat="false" ht="15" hidden="false" customHeight="false" outlineLevel="0" collapsed="false">
      <c r="B34" s="15" t="s">
        <v>291</v>
      </c>
      <c r="D34" s="17" t="n">
        <f aca="false">MAX(0,D22)*Premissas!$D$26</f>
        <v>25212.1424537793</v>
      </c>
      <c r="E34" s="17" t="n">
        <f aca="false">MAX(0,E22)*Premissas!$D$26</f>
        <v>27215.9838724266</v>
      </c>
      <c r="F34" s="17" t="n">
        <f aca="false">MAX(0,F22)*Premissas!$D$26</f>
        <v>29383.8554692766</v>
      </c>
      <c r="G34" s="17" t="n">
        <f aca="false">MAX(0,G22)*Premissas!$D$26</f>
        <v>31733.8145639365</v>
      </c>
      <c r="H34" s="17" t="n">
        <f aca="false">MAX(0,H22)*Premissas!$D$26</f>
        <v>34275.3328247099</v>
      </c>
      <c r="I34" s="2" t="s">
        <v>292</v>
      </c>
    </row>
    <row r="35" customFormat="false" ht="15" hidden="false" customHeight="false" outlineLevel="0" collapsed="false">
      <c r="B35" s="15" t="s">
        <v>293</v>
      </c>
      <c r="D35" s="17" t="n">
        <f aca="false">FCFF!D22-D34</f>
        <v>-2173.63831146962</v>
      </c>
      <c r="E35" s="17" t="n">
        <f aca="false">FCFF!E22-E34</f>
        <v>-1545.8068945163</v>
      </c>
      <c r="F35" s="17" t="n">
        <f aca="false">FCFF!F22-F34</f>
        <v>-641.137600410879</v>
      </c>
      <c r="G35" s="17" t="n">
        <f aca="false">FCFF!G22-G34</f>
        <v>327.442495694937</v>
      </c>
      <c r="H35" s="17" t="n">
        <f aca="false">FCFF!H22-H34</f>
        <v>1390.24527876402</v>
      </c>
      <c r="I35" s="2" t="s">
        <v>294</v>
      </c>
    </row>
    <row r="37" customFormat="false" ht="15" hidden="false" customHeight="false" outlineLevel="0" collapsed="false">
      <c r="B37" s="26" t="s">
        <v>295</v>
      </c>
      <c r="C37" s="27"/>
      <c r="D37" s="27"/>
      <c r="E37" s="27"/>
      <c r="F37" s="27"/>
      <c r="G37" s="27"/>
      <c r="H37" s="27"/>
    </row>
    <row r="38" customFormat="false" ht="15" hidden="false" customHeight="false" outlineLevel="0" collapsed="false">
      <c r="B38" s="15" t="s">
        <v>229</v>
      </c>
      <c r="C38" s="17" t="n">
        <f aca="false">Demonstrativos!J63</f>
        <v>41629</v>
      </c>
      <c r="D38" s="17" t="n">
        <f aca="false">C38+D35</f>
        <v>39455.3616885304</v>
      </c>
      <c r="E38" s="17" t="n">
        <f aca="false">D38+E35</f>
        <v>37909.5547940141</v>
      </c>
      <c r="F38" s="17" t="n">
        <f aca="false">E38+F35</f>
        <v>37268.4171936032</v>
      </c>
      <c r="G38" s="17" t="n">
        <f aca="false">F38+G35</f>
        <v>37595.8596892981</v>
      </c>
      <c r="H38" s="17" t="n">
        <f aca="false">G38+H35</f>
        <v>38986.1049680622</v>
      </c>
      <c r="I38" s="2" t="s">
        <v>296</v>
      </c>
    </row>
    <row r="39" customFormat="false" ht="15" hidden="false" customHeight="false" outlineLevel="0" collapsed="false">
      <c r="B39" s="15" t="s">
        <v>167</v>
      </c>
      <c r="C39" s="17" t="n">
        <f aca="false">Demonstrativos!J31</f>
        <v>27674</v>
      </c>
      <c r="D39" s="17" t="n">
        <f aca="false">C39+D13</f>
        <v>26104</v>
      </c>
      <c r="E39" s="17" t="n">
        <f aca="false">D39+E13</f>
        <v>24534</v>
      </c>
      <c r="F39" s="17" t="n">
        <f aca="false">E39+F13</f>
        <v>22964</v>
      </c>
      <c r="G39" s="17" t="n">
        <f aca="false">F39+G13</f>
        <v>21394</v>
      </c>
      <c r="H39" s="17" t="n">
        <f aca="false">G39+H13</f>
        <v>19824</v>
      </c>
      <c r="I39" s="2" t="s">
        <v>297</v>
      </c>
    </row>
    <row r="40" customFormat="false" ht="15" hidden="false" customHeight="false" outlineLevel="0" collapsed="false">
      <c r="B40" s="15" t="s">
        <v>298</v>
      </c>
      <c r="C40" s="17" t="n">
        <f aca="false">Demonstrativos!J34-C38-C27-C28-C26-C39</f>
        <v>72185</v>
      </c>
      <c r="D40" s="17" t="n">
        <f aca="false">C40</f>
        <v>72185</v>
      </c>
      <c r="E40" s="17" t="n">
        <f aca="false">D40</f>
        <v>72185</v>
      </c>
      <c r="F40" s="17" t="n">
        <f aca="false">E40</f>
        <v>72185</v>
      </c>
      <c r="G40" s="17" t="n">
        <f aca="false">F40</f>
        <v>72185</v>
      </c>
      <c r="H40" s="17" t="n">
        <f aca="false">G40</f>
        <v>72185</v>
      </c>
      <c r="I40" s="2" t="s">
        <v>299</v>
      </c>
    </row>
    <row r="41" customFormat="false" ht="15" hidden="false" customHeight="false" outlineLevel="0" collapsed="false">
      <c r="B41" s="4" t="s">
        <v>173</v>
      </c>
      <c r="C41" s="31" t="n">
        <f aca="false">C38+C27+C28+C26+C39+C40</f>
        <v>476094</v>
      </c>
      <c r="D41" s="31" t="n">
        <f aca="false">D38+D27+D28+D26+D39+D40</f>
        <v>488361.343507719</v>
      </c>
      <c r="E41" s="31" t="n">
        <f aca="false">E38+E27+E28+E26+E39+E40</f>
        <v>501819.213259919</v>
      </c>
      <c r="F41" s="31" t="n">
        <f aca="false">F38+F27+F28+F26+F39+F40</f>
        <v>516301.848149639</v>
      </c>
      <c r="G41" s="31" t="n">
        <f aca="false">G38+G27+G28+G26+G39+G40</f>
        <v>531894.477824999</v>
      </c>
      <c r="H41" s="31" t="n">
        <f aca="false">H38+H27+H28+H26+H39+H40</f>
        <v>548686.745370299</v>
      </c>
      <c r="I41" s="2" t="s">
        <v>300</v>
      </c>
    </row>
    <row r="42" customFormat="false" ht="15" hidden="false" customHeight="false" outlineLevel="0" collapsed="false">
      <c r="B42" s="15" t="s">
        <v>231</v>
      </c>
      <c r="C42" s="17" t="n">
        <f aca="false">Demonstrativos!J64</f>
        <v>103457</v>
      </c>
      <c r="D42" s="17" t="n">
        <f aca="false">C42+Premissas!$D$19</f>
        <v>103457</v>
      </c>
      <c r="E42" s="17" t="n">
        <f aca="false">D42+Premissas!$E$19</f>
        <v>103457</v>
      </c>
      <c r="F42" s="17" t="n">
        <f aca="false">E42+Premissas!$F$19</f>
        <v>103457</v>
      </c>
      <c r="G42" s="17" t="n">
        <f aca="false">F42+Premissas!$G$19</f>
        <v>103457</v>
      </c>
      <c r="H42" s="17" t="n">
        <f aca="false">G42+Premissas!$H$19</f>
        <v>103457</v>
      </c>
      <c r="I42" s="2" t="s">
        <v>301</v>
      </c>
    </row>
    <row r="43" customFormat="false" ht="15" hidden="false" customHeight="false" outlineLevel="0" collapsed="false">
      <c r="B43" s="15" t="s">
        <v>302</v>
      </c>
      <c r="C43" s="17" t="n">
        <f aca="false">Demonstrativos!J34-C29-C42-C44</f>
        <v>153090</v>
      </c>
      <c r="D43" s="17" t="n">
        <f aca="false">C43</f>
        <v>153090</v>
      </c>
      <c r="E43" s="17" t="n">
        <f aca="false">D43</f>
        <v>153090</v>
      </c>
      <c r="F43" s="17" t="n">
        <f aca="false">E43</f>
        <v>153090</v>
      </c>
      <c r="G43" s="17" t="n">
        <f aca="false">F43</f>
        <v>153090</v>
      </c>
      <c r="H43" s="17" t="n">
        <f aca="false">G43</f>
        <v>153090</v>
      </c>
      <c r="I43" s="2" t="s">
        <v>299</v>
      </c>
    </row>
    <row r="44" customFormat="false" ht="15" hidden="false" customHeight="false" outlineLevel="0" collapsed="false">
      <c r="B44" s="15" t="s">
        <v>303</v>
      </c>
      <c r="C44" s="17" t="n">
        <f aca="false">Demonstrativos!J39</f>
        <v>188926</v>
      </c>
      <c r="D44" s="17" t="n">
        <f aca="false">C44+D22-D34</f>
        <v>200845.142456058</v>
      </c>
      <c r="E44" s="17" t="n">
        <f aca="false">D44+E22-E34</f>
        <v>213711.609058486</v>
      </c>
      <c r="F44" s="17" t="n">
        <f aca="false">E44+F22-F34</f>
        <v>227602.945738365</v>
      </c>
      <c r="G44" s="17" t="n">
        <f aca="false">F44+G22-G34</f>
        <v>242605.235097752</v>
      </c>
      <c r="H44" s="17" t="n">
        <f aca="false">G44+H22-H34</f>
        <v>258809.037508255</v>
      </c>
      <c r="I44" s="2" t="s">
        <v>304</v>
      </c>
    </row>
    <row r="45" customFormat="false" ht="15" hidden="false" customHeight="false" outlineLevel="0" collapsed="false">
      <c r="B45" s="4" t="s">
        <v>305</v>
      </c>
      <c r="C45" s="31" t="n">
        <f aca="false">C29+C42+C43+C44</f>
        <v>476094</v>
      </c>
      <c r="D45" s="31" t="n">
        <f aca="false">D29+D42+D43+D44</f>
        <v>488361.343507719</v>
      </c>
      <c r="E45" s="31" t="n">
        <f aca="false">E29+E42+E43+E44</f>
        <v>501819.213259919</v>
      </c>
      <c r="F45" s="31" t="n">
        <f aca="false">F29+F42+F43+F44</f>
        <v>516301.848149639</v>
      </c>
      <c r="G45" s="31" t="n">
        <f aca="false">G29+G42+G43+G44</f>
        <v>531894.477824999</v>
      </c>
      <c r="H45" s="31" t="n">
        <f aca="false">H29+H42+H43+H44</f>
        <v>548686.745370299</v>
      </c>
      <c r="I45" s="2" t="s">
        <v>306</v>
      </c>
    </row>
    <row r="46" customFormat="false" ht="15" hidden="false" customHeight="false" outlineLevel="0" collapsed="false">
      <c r="B46" s="15" t="s">
        <v>307</v>
      </c>
      <c r="C46" s="17" t="n">
        <f aca="false">ROUND(C41-C45,3)</f>
        <v>0</v>
      </c>
      <c r="D46" s="17" t="n">
        <f aca="false">ROUND(D41-D45,3)</f>
        <v>0</v>
      </c>
      <c r="E46" s="17" t="n">
        <f aca="false">ROUND(E41-E45,3)</f>
        <v>0</v>
      </c>
      <c r="F46" s="17" t="n">
        <f aca="false">ROUND(F41-F45,3)</f>
        <v>0</v>
      </c>
      <c r="G46" s="17" t="n">
        <f aca="false">ROUND(G41-G45,3)</f>
        <v>0</v>
      </c>
      <c r="H46" s="17" t="n">
        <f aca="false">ROUND(H41-H45,3)</f>
        <v>0</v>
      </c>
      <c r="I46" s="2" t="s">
        <v>308</v>
      </c>
    </row>
    <row r="48" customFormat="false" ht="15" hidden="false" customHeight="false" outlineLevel="0" collapsed="false">
      <c r="B48" s="26" t="s">
        <v>309</v>
      </c>
      <c r="C48" s="27"/>
      <c r="D48" s="27"/>
      <c r="E48" s="27"/>
      <c r="F48" s="27"/>
      <c r="G48" s="27"/>
      <c r="H48" s="27"/>
    </row>
    <row r="49" customFormat="false" ht="15" hidden="false" customHeight="false" outlineLevel="0" collapsed="false">
      <c r="B49" s="15" t="s">
        <v>207</v>
      </c>
      <c r="C49" s="11" t="n">
        <f aca="false">C16/C10</f>
        <v>0.149671106533393</v>
      </c>
      <c r="D49" s="11" t="n">
        <f aca="false">D16/D10</f>
        <v>0.270410262492534</v>
      </c>
      <c r="E49" s="11" t="n">
        <f aca="false">E16/E10</f>
        <v>0.281218937711224</v>
      </c>
      <c r="F49" s="11" t="n">
        <f aca="false">F16/F10</f>
        <v>0.292189788644687</v>
      </c>
      <c r="G49" s="11" t="n">
        <f aca="false">G16/G10</f>
        <v>0.303308016641746</v>
      </c>
      <c r="H49" s="11" t="n">
        <f aca="false">H16/H10</f>
        <v>0.314560173438842</v>
      </c>
      <c r="I49" s="2" t="s">
        <v>310</v>
      </c>
    </row>
    <row r="50" customFormat="false" ht="15" hidden="false" customHeight="false" outlineLevel="0" collapsed="false">
      <c r="B50" s="15" t="s">
        <v>233</v>
      </c>
      <c r="C50" s="17" t="n">
        <f aca="false">C42-C38</f>
        <v>61828</v>
      </c>
      <c r="D50" s="17" t="n">
        <f aca="false">D42-D38</f>
        <v>64001.6383114696</v>
      </c>
      <c r="E50" s="17" t="n">
        <f aca="false">E42-E38</f>
        <v>65547.4452059859</v>
      </c>
      <c r="F50" s="17" t="n">
        <f aca="false">F42-F38</f>
        <v>66188.5828063968</v>
      </c>
      <c r="G50" s="17" t="n">
        <f aca="false">G42-G38</f>
        <v>65861.1403107019</v>
      </c>
      <c r="H50" s="17" t="n">
        <f aca="false">H42-H38</f>
        <v>64470.8950319378</v>
      </c>
      <c r="I50" s="2" t="s">
        <v>311</v>
      </c>
    </row>
    <row r="51" customFormat="false" ht="15" hidden="false" customHeight="false" outlineLevel="0" collapsed="false">
      <c r="B51" s="15" t="s">
        <v>235</v>
      </c>
      <c r="C51" s="29" t="n">
        <f aca="false">C50/C14</f>
        <v>1.25475393201421</v>
      </c>
      <c r="D51" s="29" t="n">
        <f aca="false">D50/D14</f>
        <v>0.848528127588214</v>
      </c>
      <c r="E51" s="29" t="n">
        <f aca="false">E50/E14</f>
        <v>0.809463250969197</v>
      </c>
      <c r="F51" s="29" t="n">
        <f aca="false">F50/F14</f>
        <v>0.762207610737904</v>
      </c>
      <c r="G51" s="29" t="n">
        <f aca="false">G50/G14</f>
        <v>0.707978788969127</v>
      </c>
      <c r="H51" s="29" t="n">
        <f aca="false">H50/H14</f>
        <v>0.647559468993994</v>
      </c>
      <c r="I51" s="2" t="s">
        <v>312</v>
      </c>
    </row>
    <row r="52" customFormat="false" ht="15" hidden="false" customHeight="false" outlineLevel="0" collapsed="false">
      <c r="B52" s="15" t="s">
        <v>313</v>
      </c>
      <c r="D52" s="11" t="n">
        <f aca="false">FCFF!D9/(C30+C26)</f>
        <v>0.131432085549738</v>
      </c>
      <c r="E52" s="11" t="n">
        <f aca="false">FCFF!E9/(D30+D26)</f>
        <v>0.134644534893504</v>
      </c>
      <c r="F52" s="11" t="n">
        <f aca="false">FCFF!F9/(E30+E26)</f>
        <v>0.138030136525543</v>
      </c>
      <c r="G52" s="11" t="n">
        <f aca="false">FCFF!G9/(F30+F26)</f>
        <v>0.141663272114538</v>
      </c>
      <c r="H52" s="11" t="n">
        <f aca="false">FCFF!H9/(G30+G26)</f>
        <v>0.145526295108787</v>
      </c>
      <c r="I52" s="2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8" min="3" style="0" width="13"/>
    <col collapsed="false" customWidth="true" hidden="false" outlineLevel="0" max="9" min="9" style="0" width="100"/>
  </cols>
  <sheetData>
    <row r="1" customFormat="false" ht="17.35" hidden="false" customHeight="false" outlineLevel="0" collapsed="false">
      <c r="B1" s="1" t="str">
        <f aca="false">"FCFF e FCFE - "&amp;Painel!$D$5</f>
        <v>FCFF e FCFE - Vale (VALE3)</v>
      </c>
    </row>
    <row r="2" customFormat="false" ht="15" hidden="false" customHeight="false" outlineLevel="0" collapsed="false">
      <c r="B2" s="2" t="s">
        <v>315</v>
      </c>
    </row>
    <row r="4" customFormat="false" ht="15" hidden="false" customHeight="false" outlineLevel="0" collapsed="false">
      <c r="B4" s="8" t="s">
        <v>108</v>
      </c>
      <c r="C4" s="9"/>
      <c r="D4" s="9" t="s">
        <v>246</v>
      </c>
      <c r="E4" s="9" t="s">
        <v>247</v>
      </c>
      <c r="F4" s="9" t="s">
        <v>248</v>
      </c>
      <c r="G4" s="9" t="s">
        <v>249</v>
      </c>
      <c r="H4" s="9" t="s">
        <v>250</v>
      </c>
      <c r="I4" s="8" t="s">
        <v>188</v>
      </c>
    </row>
    <row r="5" customFormat="false" ht="15" hidden="false" customHeight="false" outlineLevel="0" collapsed="false">
      <c r="B5" s="26" t="s">
        <v>316</v>
      </c>
      <c r="C5" s="27"/>
      <c r="D5" s="27"/>
      <c r="E5" s="27"/>
      <c r="F5" s="27"/>
      <c r="G5" s="27"/>
      <c r="H5" s="27"/>
    </row>
    <row r="6" customFormat="false" ht="15" hidden="false" customHeight="false" outlineLevel="0" collapsed="false">
      <c r="B6" s="15" t="s">
        <v>266</v>
      </c>
      <c r="D6" s="17" t="n">
        <f aca="false">Projeção!D16</f>
        <v>58965.42806945</v>
      </c>
      <c r="E6" s="17" t="n">
        <f aca="false">Projeção!E16</f>
        <v>63640.3435927037</v>
      </c>
      <c r="F6" s="17" t="n">
        <f aca="false">Projeção!F16</f>
        <v>68622.518503334</v>
      </c>
      <c r="G6" s="17" t="n">
        <f aca="false">Projeção!G16</f>
        <v>73926.3347011686</v>
      </c>
      <c r="H6" s="17" t="n">
        <f aca="false">Projeção!H16</f>
        <v>79566.9456470415</v>
      </c>
      <c r="I6" s="2" t="s">
        <v>317</v>
      </c>
    </row>
    <row r="7" customFormat="false" ht="15" hidden="false" customHeight="false" outlineLevel="0" collapsed="false">
      <c r="B7" s="15" t="s">
        <v>318</v>
      </c>
      <c r="D7" s="17" t="n">
        <f aca="false">Projeção!D13</f>
        <v>-1570</v>
      </c>
      <c r="E7" s="17" t="n">
        <f aca="false">Projeção!E13</f>
        <v>-1570</v>
      </c>
      <c r="F7" s="17" t="n">
        <f aca="false">Projeção!F13</f>
        <v>-1570</v>
      </c>
      <c r="G7" s="17" t="n">
        <f aca="false">Projeção!G13</f>
        <v>-1570</v>
      </c>
      <c r="H7" s="17" t="n">
        <f aca="false">Projeção!H13</f>
        <v>-1570</v>
      </c>
      <c r="I7" s="2" t="s">
        <v>319</v>
      </c>
    </row>
    <row r="8" customFormat="false" ht="15" hidden="false" customHeight="false" outlineLevel="0" collapsed="false">
      <c r="B8" s="15" t="s">
        <v>320</v>
      </c>
      <c r="D8" s="17" t="n">
        <f aca="false">(D6-D7)*Premissas!$D$22</f>
        <v>20582.045543613</v>
      </c>
      <c r="E8" s="17" t="n">
        <f aca="false">(E6-E7)*Premissas!$D$22</f>
        <v>22171.5168215192</v>
      </c>
      <c r="F8" s="17" t="n">
        <f aca="false">(F6-F7)*Premissas!$D$22</f>
        <v>23865.4562911336</v>
      </c>
      <c r="G8" s="17" t="n">
        <f aca="false">(G6-G7)*Premissas!$D$22</f>
        <v>25668.7537983973</v>
      </c>
      <c r="H8" s="17" t="n">
        <f aca="false">(H6-H7)*Premissas!$D$22</f>
        <v>27586.5615199941</v>
      </c>
      <c r="I8" s="2" t="s">
        <v>321</v>
      </c>
    </row>
    <row r="9" customFormat="false" ht="15" hidden="false" customHeight="false" outlineLevel="0" collapsed="false">
      <c r="B9" s="4" t="s">
        <v>322</v>
      </c>
      <c r="D9" s="31" t="n">
        <f aca="false">D6-D7-D8</f>
        <v>39953.382525837</v>
      </c>
      <c r="E9" s="31" t="n">
        <f aca="false">E6-E7-E8</f>
        <v>43038.8267711844</v>
      </c>
      <c r="F9" s="31" t="n">
        <f aca="false">F6-F7-F8</f>
        <v>46327.0622122004</v>
      </c>
      <c r="G9" s="31" t="n">
        <f aca="false">G6-G7-G8</f>
        <v>49827.5809027712</v>
      </c>
      <c r="H9" s="31" t="n">
        <f aca="false">H6-H7-H8</f>
        <v>53550.3841270474</v>
      </c>
      <c r="I9" s="2" t="s">
        <v>323</v>
      </c>
    </row>
    <row r="10" customFormat="false" ht="15" hidden="false" customHeight="false" outlineLevel="0" collapsed="false">
      <c r="B10" s="15" t="s">
        <v>324</v>
      </c>
      <c r="D10" s="17" t="n">
        <f aca="false">Projeção!D15</f>
        <v>16461.2269</v>
      </c>
      <c r="E10" s="17" t="n">
        <f aca="false">Projeção!E15</f>
        <v>17336.0875516427</v>
      </c>
      <c r="F10" s="17" t="n">
        <f aca="false">Projeção!F15</f>
        <v>18215.4792730443</v>
      </c>
      <c r="G10" s="17" t="n">
        <f aca="false">Projeção!G15</f>
        <v>19100.6617807471</v>
      </c>
      <c r="H10" s="17" t="n">
        <f aca="false">Projeção!H15</f>
        <v>19992.8602378074</v>
      </c>
      <c r="I10" s="2" t="s">
        <v>325</v>
      </c>
    </row>
    <row r="11" customFormat="false" ht="15" hidden="false" customHeight="false" outlineLevel="0" collapsed="false">
      <c r="B11" s="15" t="s">
        <v>326</v>
      </c>
      <c r="D11" s="17" t="n">
        <f aca="false">Projeção!D25</f>
        <v>31836.633783</v>
      </c>
      <c r="E11" s="17" t="n">
        <f aca="false">Projeção!E25</f>
        <v>32791.1265920933</v>
      </c>
      <c r="F11" s="17" t="n">
        <f aca="false">Projeção!F25</f>
        <v>33772.2896017396</v>
      </c>
      <c r="G11" s="17" t="n">
        <f aca="false">Projeção!G25</f>
        <v>34780.7752615952</v>
      </c>
      <c r="H11" s="17" t="n">
        <f aca="false">Projeção!H25</f>
        <v>35791.9525729322</v>
      </c>
      <c r="I11" s="2" t="s">
        <v>327</v>
      </c>
    </row>
    <row r="12" customFormat="false" ht="15" hidden="false" customHeight="false" outlineLevel="0" collapsed="false">
      <c r="B12" s="15" t="s">
        <v>328</v>
      </c>
      <c r="D12" s="17" t="n">
        <f aca="false">Projeção!D31</f>
        <v>287.373884527304</v>
      </c>
      <c r="E12" s="17" t="n">
        <f aca="false">Projeção!E31</f>
        <v>527.234456494167</v>
      </c>
      <c r="F12" s="17" t="n">
        <f aca="false">Projeção!F31</f>
        <v>545.663951594546</v>
      </c>
      <c r="G12" s="17" t="n">
        <f aca="false">Projeção!G31</f>
        <v>564.73338284369</v>
      </c>
      <c r="H12" s="17" t="n">
        <f aca="false">Projeção!H31</f>
        <v>584.464796614677</v>
      </c>
      <c r="I12" s="2" t="s">
        <v>329</v>
      </c>
    </row>
    <row r="13" customFormat="false" ht="15" hidden="false" customHeight="false" outlineLevel="0" collapsed="false">
      <c r="B13" s="4" t="s">
        <v>330</v>
      </c>
      <c r="D13" s="21" t="n">
        <f aca="false">D9+D10-D11-D12</f>
        <v>24290.6017583097</v>
      </c>
      <c r="E13" s="21" t="n">
        <f aca="false">E9+E10-E11-E12</f>
        <v>27056.5532742396</v>
      </c>
      <c r="F13" s="21" t="n">
        <f aca="false">F9+F10-F11-F12</f>
        <v>30224.5879319107</v>
      </c>
      <c r="G13" s="21" t="n">
        <f aca="false">G9+G10-G11-G12</f>
        <v>33582.7340390794</v>
      </c>
      <c r="H13" s="21" t="n">
        <f aca="false">H9+H10-H11-H12</f>
        <v>37166.8269953079</v>
      </c>
      <c r="I13" s="2" t="s">
        <v>331</v>
      </c>
    </row>
    <row r="15" customFormat="false" ht="15" hidden="false" customHeight="false" outlineLevel="0" collapsed="false">
      <c r="B15" s="26" t="s">
        <v>332</v>
      </c>
      <c r="C15" s="27"/>
      <c r="D15" s="27"/>
      <c r="E15" s="27"/>
      <c r="F15" s="27"/>
      <c r="G15" s="27"/>
      <c r="H15" s="27"/>
    </row>
    <row r="16" customFormat="false" ht="15" hidden="false" customHeight="false" outlineLevel="0" collapsed="false">
      <c r="B16" s="15" t="s">
        <v>277</v>
      </c>
      <c r="D16" s="17" t="n">
        <f aca="false">Projeção!D22</f>
        <v>37131.284909837</v>
      </c>
      <c r="E16" s="17" t="n">
        <f aca="false">Projeção!E22</f>
        <v>40082.4504748551</v>
      </c>
      <c r="F16" s="17" t="n">
        <f aca="false">Projeção!F22</f>
        <v>43275.1921491555</v>
      </c>
      <c r="G16" s="17" t="n">
        <f aca="false">Projeção!G22</f>
        <v>46736.1039233233</v>
      </c>
      <c r="H16" s="17" t="n">
        <f aca="false">Projeção!H22</f>
        <v>50479.1352352134</v>
      </c>
      <c r="I16" s="2" t="s">
        <v>333</v>
      </c>
    </row>
    <row r="17" customFormat="false" ht="15" hidden="false" customHeight="false" outlineLevel="0" collapsed="false">
      <c r="B17" s="15" t="s">
        <v>318</v>
      </c>
      <c r="D17" s="17" t="n">
        <f aca="false">Projeção!D13</f>
        <v>-1570</v>
      </c>
      <c r="E17" s="17" t="n">
        <f aca="false">Projeção!E13</f>
        <v>-1570</v>
      </c>
      <c r="F17" s="17" t="n">
        <f aca="false">Projeção!F13</f>
        <v>-1570</v>
      </c>
      <c r="G17" s="17" t="n">
        <f aca="false">Projeção!G13</f>
        <v>-1570</v>
      </c>
      <c r="H17" s="17" t="n">
        <f aca="false">Projeção!H13</f>
        <v>-1570</v>
      </c>
      <c r="I17" s="2" t="s">
        <v>319</v>
      </c>
    </row>
    <row r="18" customFormat="false" ht="15" hidden="false" customHeight="false" outlineLevel="0" collapsed="false">
      <c r="B18" s="15" t="s">
        <v>324</v>
      </c>
      <c r="D18" s="17" t="n">
        <f aca="false">Projeção!D15</f>
        <v>16461.2269</v>
      </c>
      <c r="E18" s="17" t="n">
        <f aca="false">Projeção!E15</f>
        <v>17336.0875516427</v>
      </c>
      <c r="F18" s="17" t="n">
        <f aca="false">Projeção!F15</f>
        <v>18215.4792730443</v>
      </c>
      <c r="G18" s="17" t="n">
        <f aca="false">Projeção!G15</f>
        <v>19100.6617807471</v>
      </c>
      <c r="H18" s="17" t="n">
        <f aca="false">Projeção!H15</f>
        <v>19992.8602378074</v>
      </c>
      <c r="I18" s="2" t="s">
        <v>325</v>
      </c>
    </row>
    <row r="19" customFormat="false" ht="15" hidden="false" customHeight="false" outlineLevel="0" collapsed="false">
      <c r="B19" s="15" t="s">
        <v>326</v>
      </c>
      <c r="D19" s="17" t="n">
        <f aca="false">Projeção!D25</f>
        <v>31836.633783</v>
      </c>
      <c r="E19" s="17" t="n">
        <f aca="false">Projeção!E25</f>
        <v>32791.1265920933</v>
      </c>
      <c r="F19" s="17" t="n">
        <f aca="false">Projeção!F25</f>
        <v>33772.2896017396</v>
      </c>
      <c r="G19" s="17" t="n">
        <f aca="false">Projeção!G25</f>
        <v>34780.7752615952</v>
      </c>
      <c r="H19" s="17" t="n">
        <f aca="false">Projeção!H25</f>
        <v>35791.9525729322</v>
      </c>
      <c r="I19" s="2" t="s">
        <v>327</v>
      </c>
    </row>
    <row r="20" customFormat="false" ht="15" hidden="false" customHeight="false" outlineLevel="0" collapsed="false">
      <c r="B20" s="15" t="s">
        <v>328</v>
      </c>
      <c r="D20" s="17" t="n">
        <f aca="false">Projeção!D31</f>
        <v>287.373884527304</v>
      </c>
      <c r="E20" s="17" t="n">
        <f aca="false">Projeção!E31</f>
        <v>527.234456494167</v>
      </c>
      <c r="F20" s="17" t="n">
        <f aca="false">Projeção!F31</f>
        <v>545.663951594546</v>
      </c>
      <c r="G20" s="17" t="n">
        <f aca="false">Projeção!G31</f>
        <v>564.73338284369</v>
      </c>
      <c r="H20" s="17" t="n">
        <f aca="false">Projeção!H31</f>
        <v>584.464796614677</v>
      </c>
      <c r="I20" s="2" t="s">
        <v>329</v>
      </c>
    </row>
    <row r="21" customFormat="false" ht="15" hidden="false" customHeight="false" outlineLevel="0" collapsed="false">
      <c r="B21" s="15" t="s">
        <v>334</v>
      </c>
      <c r="D21" s="17" t="n">
        <f aca="false">Premissas!$D$19</f>
        <v>0</v>
      </c>
      <c r="E21" s="17" t="n">
        <f aca="false">Premissas!$E$19</f>
        <v>0</v>
      </c>
      <c r="F21" s="17" t="n">
        <f aca="false">Premissas!$F$19</f>
        <v>0</v>
      </c>
      <c r="G21" s="17" t="n">
        <f aca="false">Premissas!$G$19</f>
        <v>0</v>
      </c>
      <c r="H21" s="17" t="n">
        <f aca="false">Premissas!$H$19</f>
        <v>0</v>
      </c>
      <c r="I21" s="2" t="s">
        <v>335</v>
      </c>
    </row>
    <row r="22" customFormat="false" ht="15" hidden="false" customHeight="false" outlineLevel="0" collapsed="false">
      <c r="B22" s="4" t="s">
        <v>336</v>
      </c>
      <c r="D22" s="31" t="n">
        <f aca="false">D16-D17+D18-D19-D20+D21</f>
        <v>23038.5041423097</v>
      </c>
      <c r="E22" s="31" t="n">
        <f aca="false">E16-E17+E18-E19-E20+E21</f>
        <v>25670.1769779103</v>
      </c>
      <c r="F22" s="31" t="n">
        <f aca="false">F16-F17+F18-F19-F20+F21</f>
        <v>28742.7178688657</v>
      </c>
      <c r="G22" s="31" t="n">
        <f aca="false">G16-G17+G18-G19-G20+G21</f>
        <v>32061.2570596314</v>
      </c>
      <c r="H22" s="31" t="n">
        <f aca="false">H16-H17+H18-H19-H20+H21</f>
        <v>35665.578103474</v>
      </c>
      <c r="I22" s="2" t="s">
        <v>337</v>
      </c>
    </row>
    <row r="24" customFormat="false" ht="15" hidden="false" customHeight="false" outlineLevel="0" collapsed="false">
      <c r="B24" s="26" t="s">
        <v>338</v>
      </c>
      <c r="C24" s="27"/>
      <c r="D24" s="27"/>
      <c r="E24" s="27"/>
      <c r="F24" s="27"/>
      <c r="G24" s="27"/>
      <c r="H24" s="27"/>
    </row>
    <row r="25" customFormat="false" ht="15" hidden="false" customHeight="false" outlineLevel="0" collapsed="false">
      <c r="B25" s="15" t="s">
        <v>339</v>
      </c>
      <c r="D25" s="17" t="n">
        <f aca="false">Premissas!$D$33*H10</f>
        <v>19992.8602378074</v>
      </c>
      <c r="I25" s="2" t="s">
        <v>340</v>
      </c>
    </row>
    <row r="26" customFormat="false" ht="15" hidden="false" customHeight="false" outlineLevel="0" collapsed="false">
      <c r="B26" s="4" t="s">
        <v>341</v>
      </c>
      <c r="D26" s="31" t="n">
        <f aca="false">H9+H10-D25-H12</f>
        <v>52965.9193304327</v>
      </c>
      <c r="I26" s="2" t="s">
        <v>342</v>
      </c>
    </row>
    <row r="27" customFormat="false" ht="15" hidden="false" customHeight="false" outlineLevel="0" collapsed="false">
      <c r="B27" s="15" t="s">
        <v>343</v>
      </c>
      <c r="D27" s="17" t="n">
        <f aca="false">H16-H17+H18-D25-H20+H21</f>
        <v>51464.6704385988</v>
      </c>
      <c r="I27" s="2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00"/>
  </cols>
  <sheetData>
    <row r="1" customFormat="false" ht="17.35" hidden="false" customHeight="false" outlineLevel="0" collapsed="false">
      <c r="B1" s="1" t="str">
        <f aca="false">"Custo de capital - "&amp;Painel!$D$5</f>
        <v>Custo de capital - Vale (VALE3)</v>
      </c>
    </row>
    <row r="2" customFormat="false" ht="15" hidden="false" customHeight="false" outlineLevel="0" collapsed="false">
      <c r="B2" s="2" t="s">
        <v>345</v>
      </c>
    </row>
    <row r="4" customFormat="false" ht="15" hidden="false" customHeight="false" outlineLevel="0" collapsed="false">
      <c r="B4" s="8" t="s">
        <v>346</v>
      </c>
      <c r="C4" s="9"/>
      <c r="D4" s="9" t="s">
        <v>22</v>
      </c>
      <c r="E4" s="8" t="s">
        <v>188</v>
      </c>
    </row>
    <row r="5" customFormat="false" ht="15" hidden="false" customHeight="false" outlineLevel="0" collapsed="false">
      <c r="B5" s="15" t="s">
        <v>347</v>
      </c>
      <c r="D5" s="18" t="n">
        <f aca="false">Premissas!$D$27</f>
        <v>0.1291</v>
      </c>
      <c r="E5" s="2" t="s">
        <v>348</v>
      </c>
    </row>
    <row r="6" customFormat="false" ht="15" hidden="false" customHeight="false" outlineLevel="0" collapsed="false">
      <c r="B6" s="15" t="s">
        <v>349</v>
      </c>
      <c r="D6" s="30" t="n">
        <f aca="false">Premissas!$D$28</f>
        <v>0.7558</v>
      </c>
      <c r="E6" s="2" t="s">
        <v>350</v>
      </c>
    </row>
    <row r="7" customFormat="false" ht="15" hidden="false" customHeight="false" outlineLevel="0" collapsed="false">
      <c r="B7" s="15" t="s">
        <v>351</v>
      </c>
      <c r="D7" s="18" t="n">
        <f aca="false">Premissas!$D$29</f>
        <v>0.0423</v>
      </c>
      <c r="E7" s="2" t="s">
        <v>352</v>
      </c>
    </row>
    <row r="8" customFormat="false" ht="15" hidden="false" customHeight="false" outlineLevel="0" collapsed="false">
      <c r="B8" s="15" t="s">
        <v>353</v>
      </c>
      <c r="D8" s="18" t="n">
        <f aca="false">Premissas!$D$30</f>
        <v>0</v>
      </c>
      <c r="E8" s="2" t="s">
        <v>354</v>
      </c>
    </row>
    <row r="9" customFormat="false" ht="15" hidden="false" customHeight="false" outlineLevel="0" collapsed="false">
      <c r="B9" s="4" t="s">
        <v>355</v>
      </c>
      <c r="D9" s="32" t="n">
        <f aca="false">D5+D6*D7+D8</f>
        <v>0.16107034</v>
      </c>
      <c r="E9" s="2" t="s">
        <v>356</v>
      </c>
    </row>
    <row r="11" customFormat="false" ht="15" hidden="false" customHeight="false" outlineLevel="0" collapsed="false">
      <c r="B11" s="8" t="s">
        <v>357</v>
      </c>
      <c r="C11" s="9"/>
      <c r="D11" s="9" t="s">
        <v>22</v>
      </c>
      <c r="E11" s="8" t="s">
        <v>188</v>
      </c>
    </row>
    <row r="12" customFormat="false" ht="15" hidden="false" customHeight="false" outlineLevel="0" collapsed="false">
      <c r="B12" s="15" t="s">
        <v>358</v>
      </c>
      <c r="D12" s="18" t="n">
        <f aca="false">Premissas!$D$24</f>
        <v>0.0715</v>
      </c>
      <c r="E12" s="2" t="s">
        <v>359</v>
      </c>
    </row>
    <row r="13" customFormat="false" ht="15" hidden="false" customHeight="false" outlineLevel="0" collapsed="false">
      <c r="B13" s="15" t="s">
        <v>360</v>
      </c>
      <c r="D13" s="18" t="n">
        <f aca="false">Premissas!$D$22</f>
        <v>0.34</v>
      </c>
      <c r="E13" s="2" t="s">
        <v>361</v>
      </c>
    </row>
    <row r="14" customFormat="false" ht="15" hidden="false" customHeight="false" outlineLevel="0" collapsed="false">
      <c r="B14" s="4" t="s">
        <v>362</v>
      </c>
      <c r="D14" s="32" t="n">
        <f aca="false">D12*(1-D13)</f>
        <v>0.04719</v>
      </c>
      <c r="E14" s="2" t="s">
        <v>363</v>
      </c>
    </row>
    <row r="16" customFormat="false" ht="15" hidden="false" customHeight="false" outlineLevel="0" collapsed="false">
      <c r="B16" s="8" t="s">
        <v>364</v>
      </c>
      <c r="C16" s="9"/>
      <c r="D16" s="9" t="s">
        <v>22</v>
      </c>
      <c r="E16" s="8" t="s">
        <v>188</v>
      </c>
    </row>
    <row r="17" customFormat="false" ht="15" hidden="false" customHeight="false" outlineLevel="0" collapsed="false">
      <c r="B17" s="15" t="s">
        <v>69</v>
      </c>
      <c r="D17" s="18" t="n">
        <f aca="false">Premissas!$D$31</f>
        <v>0.2625</v>
      </c>
      <c r="E17" s="2" t="s">
        <v>365</v>
      </c>
    </row>
    <row r="18" customFormat="false" ht="15" hidden="false" customHeight="false" outlineLevel="0" collapsed="false">
      <c r="B18" s="15" t="s">
        <v>366</v>
      </c>
      <c r="D18" s="18" t="n">
        <f aca="false">1-D17</f>
        <v>0.7375</v>
      </c>
      <c r="E18" s="2" t="s">
        <v>367</v>
      </c>
    </row>
    <row r="19" customFormat="false" ht="15" hidden="false" customHeight="false" outlineLevel="0" collapsed="false">
      <c r="B19" s="4" t="s">
        <v>368</v>
      </c>
      <c r="D19" s="32" t="n">
        <f aca="false">D9*D18+D14*D17</f>
        <v>0.13117675075</v>
      </c>
      <c r="E19" s="2" t="s">
        <v>369</v>
      </c>
    </row>
    <row r="21" customFormat="false" ht="15" hidden="false" customHeight="false" outlineLevel="0" collapsed="false">
      <c r="B21" s="8" t="s">
        <v>370</v>
      </c>
      <c r="C21" s="9"/>
      <c r="D21" s="9" t="s">
        <v>22</v>
      </c>
      <c r="E21" s="8" t="s">
        <v>188</v>
      </c>
    </row>
    <row r="22" customFormat="false" ht="15" hidden="false" customHeight="false" outlineLevel="0" collapsed="false">
      <c r="B22" s="4" t="s">
        <v>371</v>
      </c>
      <c r="D22" s="22" t="n">
        <f aca="false">Painel!$C$12</f>
        <v>0.13117675075</v>
      </c>
      <c r="E22" s="2" t="s">
        <v>372</v>
      </c>
    </row>
    <row r="23" customFormat="false" ht="15" hidden="false" customHeight="false" outlineLevel="0" collapsed="false">
      <c r="B23" s="15" t="s">
        <v>373</v>
      </c>
      <c r="D23" s="18" t="n">
        <f aca="false">D22-D19</f>
        <v>0</v>
      </c>
      <c r="E23" s="2" t="s">
        <v>374</v>
      </c>
    </row>
    <row r="24" customFormat="false" ht="15" hidden="false" customHeight="false" outlineLevel="0" collapsed="false">
      <c r="B24" s="15" t="s">
        <v>375</v>
      </c>
      <c r="D24" s="18" t="n">
        <f aca="false">D9+D23</f>
        <v>0.16107034</v>
      </c>
      <c r="E24" s="2" t="s">
        <v>376</v>
      </c>
    </row>
    <row r="26" customFormat="false" ht="15" hidden="false" customHeight="false" outlineLevel="0" collapsed="false">
      <c r="B26" s="8" t="s">
        <v>377</v>
      </c>
      <c r="C26" s="9"/>
      <c r="D26" s="9" t="s">
        <v>22</v>
      </c>
      <c r="E26" s="8" t="s">
        <v>188</v>
      </c>
    </row>
    <row r="27" customFormat="false" ht="15" hidden="false" customHeight="false" outlineLevel="0" collapsed="false">
      <c r="B27" s="15" t="s">
        <v>378</v>
      </c>
      <c r="D27" s="17" t="n">
        <f aca="false">Premissas!$D$40</f>
        <v>275454.8362</v>
      </c>
      <c r="E27" s="2" t="s">
        <v>379</v>
      </c>
    </row>
    <row r="28" customFormat="false" ht="15" hidden="false" customHeight="false" outlineLevel="0" collapsed="false">
      <c r="B28" s="15" t="s">
        <v>380</v>
      </c>
      <c r="D28" s="17" t="n">
        <f aca="false">Demonstrativos!K64</f>
        <v>98034</v>
      </c>
      <c r="E28" s="2" t="s">
        <v>381</v>
      </c>
    </row>
    <row r="29" customFormat="false" ht="15" hidden="false" customHeight="false" outlineLevel="0" collapsed="false">
      <c r="B29" s="15" t="s">
        <v>382</v>
      </c>
      <c r="D29" s="18" t="n">
        <f aca="false">D28/(D28+D27)</f>
        <v>0.262481741080753</v>
      </c>
      <c r="E29" s="2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8" min="3" style="0" width="14"/>
    <col collapsed="false" customWidth="true" hidden="false" outlineLevel="0" max="9" min="9" style="0" width="100"/>
  </cols>
  <sheetData>
    <row r="1" customFormat="false" ht="17.35" hidden="false" customHeight="false" outlineLevel="0" collapsed="false">
      <c r="B1" s="1" t="str">
        <f aca="false">"Valor justo - "&amp;Painel!$D$5</f>
        <v>Valor justo - Vale (VALE3)</v>
      </c>
    </row>
    <row r="2" customFormat="false" ht="15" hidden="false" customHeight="false" outlineLevel="0" collapsed="false">
      <c r="B2" s="2" t="s">
        <v>384</v>
      </c>
    </row>
    <row r="4" customFormat="false" ht="15" hidden="false" customHeight="false" outlineLevel="0" collapsed="false">
      <c r="B4" s="8" t="s">
        <v>108</v>
      </c>
      <c r="C4" s="9"/>
      <c r="D4" s="9" t="s">
        <v>246</v>
      </c>
      <c r="E4" s="9" t="s">
        <v>247</v>
      </c>
      <c r="F4" s="9" t="s">
        <v>248</v>
      </c>
      <c r="G4" s="9" t="s">
        <v>249</v>
      </c>
      <c r="H4" s="9" t="s">
        <v>250</v>
      </c>
      <c r="I4" s="8" t="s">
        <v>188</v>
      </c>
    </row>
    <row r="5" customFormat="false" ht="15" hidden="false" customHeight="false" outlineLevel="0" collapsed="false">
      <c r="B5" s="26" t="s">
        <v>385</v>
      </c>
      <c r="C5" s="27"/>
      <c r="D5" s="27"/>
      <c r="E5" s="27"/>
      <c r="F5" s="27"/>
      <c r="G5" s="27"/>
      <c r="H5" s="27"/>
    </row>
    <row r="6" customFormat="false" ht="15" hidden="false" customHeight="false" outlineLevel="0" collapsed="false">
      <c r="B6" s="4" t="s">
        <v>386</v>
      </c>
      <c r="D6" s="31" t="n">
        <f aca="false">FCFF!D13</f>
        <v>24290.6017583097</v>
      </c>
      <c r="E6" s="31" t="n">
        <f aca="false">FCFF!E13</f>
        <v>27056.5532742396</v>
      </c>
      <c r="F6" s="31" t="n">
        <f aca="false">FCFF!F13</f>
        <v>30224.5879319107</v>
      </c>
      <c r="G6" s="31" t="n">
        <f aca="false">FCFF!G13</f>
        <v>33582.7340390794</v>
      </c>
      <c r="H6" s="31" t="n">
        <f aca="false">FCFF!H13</f>
        <v>37166.8269953079</v>
      </c>
      <c r="I6" s="2" t="s">
        <v>387</v>
      </c>
    </row>
    <row r="7" customFormat="false" ht="15" hidden="false" customHeight="false" outlineLevel="0" collapsed="false">
      <c r="B7" s="15" t="s">
        <v>388</v>
      </c>
      <c r="D7" s="33" t="n">
        <f aca="false">(DATE(2026,12,31)-Premissas!$D$37)/365</f>
        <v>0.504109589041096</v>
      </c>
      <c r="E7" s="33" t="n">
        <v>1</v>
      </c>
      <c r="F7" s="33" t="n">
        <v>1</v>
      </c>
      <c r="G7" s="33" t="n">
        <v>1</v>
      </c>
      <c r="H7" s="33" t="n">
        <v>1</v>
      </c>
      <c r="I7" s="2" t="s">
        <v>389</v>
      </c>
    </row>
    <row r="8" customFormat="false" ht="15" hidden="false" customHeight="false" outlineLevel="0" collapsed="false">
      <c r="B8" s="15" t="s">
        <v>390</v>
      </c>
      <c r="D8" s="33" t="n">
        <f aca="false">D7</f>
        <v>0.504109589041096</v>
      </c>
      <c r="E8" s="33" t="n">
        <f aca="false">D8+1</f>
        <v>1.5041095890411</v>
      </c>
      <c r="F8" s="33" t="n">
        <f aca="false">E8+1</f>
        <v>2.5041095890411</v>
      </c>
      <c r="G8" s="33" t="n">
        <f aca="false">F8+1</f>
        <v>3.5041095890411</v>
      </c>
      <c r="H8" s="33" t="n">
        <f aca="false">G8+1</f>
        <v>4.5041095890411</v>
      </c>
      <c r="I8" s="2" t="s">
        <v>391</v>
      </c>
    </row>
    <row r="9" customFormat="false" ht="15" hidden="false" customHeight="false" outlineLevel="0" collapsed="false">
      <c r="B9" s="15" t="s">
        <v>392</v>
      </c>
      <c r="D9" s="33" t="n">
        <f aca="false">D8-D7/2</f>
        <v>0.252054794520548</v>
      </c>
      <c r="E9" s="33" t="n">
        <f aca="false">E8-E7/2</f>
        <v>1.0041095890411</v>
      </c>
      <c r="F9" s="33" t="n">
        <f aca="false">F8-F7/2</f>
        <v>2.0041095890411</v>
      </c>
      <c r="G9" s="33" t="n">
        <f aca="false">G8-G7/2</f>
        <v>3.0041095890411</v>
      </c>
      <c r="H9" s="33" t="n">
        <f aca="false">H8-H7/2</f>
        <v>4.0041095890411</v>
      </c>
      <c r="I9" s="2" t="s">
        <v>393</v>
      </c>
    </row>
    <row r="10" customFormat="false" ht="15" hidden="false" customHeight="false" outlineLevel="0" collapsed="false">
      <c r="B10" s="15" t="s">
        <v>394</v>
      </c>
      <c r="D10" s="23" t="n">
        <f aca="false">1/(1+WACC!$D$22)^D9</f>
        <v>0.969409760890913</v>
      </c>
      <c r="E10" s="23" t="n">
        <f aca="false">1/(1+WACC!$D$22)^E9</f>
        <v>0.883587455256839</v>
      </c>
      <c r="F10" s="23" t="n">
        <f aca="false">1/(1+WACC!$D$22)^F9</f>
        <v>0.781122361886414</v>
      </c>
      <c r="G10" s="23" t="n">
        <f aca="false">1/(1+WACC!$D$22)^G9</f>
        <v>0.690539618471215</v>
      </c>
      <c r="H10" s="23" t="n">
        <f aca="false">1/(1+WACC!$D$22)^H9</f>
        <v>0.610461289991479</v>
      </c>
      <c r="I10" s="2" t="s">
        <v>395</v>
      </c>
    </row>
    <row r="11" customFormat="false" ht="15" hidden="false" customHeight="false" outlineLevel="0" collapsed="false">
      <c r="B11" s="4" t="s">
        <v>396</v>
      </c>
      <c r="D11" s="31" t="n">
        <f aca="false">D6*D7*D10</f>
        <v>11870.5439600142</v>
      </c>
      <c r="E11" s="31" t="n">
        <f aca="false">E6*E7*E10</f>
        <v>23906.8310556065</v>
      </c>
      <c r="F11" s="31" t="n">
        <f aca="false">F6*F7*F10</f>
        <v>23609.1015124177</v>
      </c>
      <c r="G11" s="31" t="n">
        <f aca="false">G6*G7*G10</f>
        <v>23190.2083505662</v>
      </c>
      <c r="H11" s="31" t="n">
        <f aca="false">H6*H7*H10</f>
        <v>22688.9091524458</v>
      </c>
      <c r="I11" s="2" t="s">
        <v>397</v>
      </c>
    </row>
    <row r="13" customFormat="false" ht="15" hidden="false" customHeight="false" outlineLevel="0" collapsed="false">
      <c r="B13" s="26" t="s">
        <v>398</v>
      </c>
      <c r="C13" s="27"/>
      <c r="D13" s="27"/>
      <c r="E13" s="27"/>
      <c r="F13" s="27"/>
      <c r="G13" s="27"/>
      <c r="H13" s="27"/>
    </row>
    <row r="14" customFormat="false" ht="15" hidden="false" customHeight="false" outlineLevel="0" collapsed="false">
      <c r="B14" s="15" t="s">
        <v>399</v>
      </c>
      <c r="D14" s="18" t="n">
        <f aca="false">WACC!$D$22</f>
        <v>0.13117675075</v>
      </c>
      <c r="I14" s="2" t="s">
        <v>400</v>
      </c>
    </row>
    <row r="15" customFormat="false" ht="15" hidden="false" customHeight="false" outlineLevel="0" collapsed="false">
      <c r="B15" s="15" t="s">
        <v>401</v>
      </c>
      <c r="D15" s="18" t="n">
        <f aca="false">Premissas!$D$32</f>
        <v>0.035</v>
      </c>
      <c r="I15" s="2" t="s">
        <v>402</v>
      </c>
    </row>
    <row r="16" customFormat="false" ht="15" hidden="false" customHeight="false" outlineLevel="0" collapsed="false">
      <c r="B16" s="15" t="s">
        <v>341</v>
      </c>
      <c r="D16" s="17" t="n">
        <f aca="false">FCFF!D26</f>
        <v>52965.9193304327</v>
      </c>
      <c r="I16" s="2" t="s">
        <v>403</v>
      </c>
    </row>
    <row r="17" customFormat="false" ht="15" hidden="false" customHeight="false" outlineLevel="0" collapsed="false">
      <c r="B17" s="15" t="s">
        <v>404</v>
      </c>
      <c r="D17" s="17" t="n">
        <f aca="false">D16*(1+D15)/(D14-D15)</f>
        <v>569989.379756602</v>
      </c>
      <c r="I17" s="2" t="s">
        <v>405</v>
      </c>
    </row>
    <row r="18" customFormat="false" ht="15" hidden="false" customHeight="false" outlineLevel="0" collapsed="false">
      <c r="B18" s="15" t="s">
        <v>406</v>
      </c>
      <c r="D18" s="17" t="n">
        <f aca="false">D17/(1+D14)^H8</f>
        <v>327159.592579581</v>
      </c>
      <c r="I18" s="2" t="s">
        <v>407</v>
      </c>
    </row>
    <row r="20" customFormat="false" ht="15" hidden="false" customHeight="false" outlineLevel="0" collapsed="false">
      <c r="B20" s="26" t="s">
        <v>408</v>
      </c>
      <c r="C20" s="27"/>
      <c r="D20" s="27"/>
      <c r="E20" s="27"/>
      <c r="F20" s="27"/>
      <c r="G20" s="27"/>
      <c r="H20" s="27"/>
    </row>
    <row r="21" customFormat="false" ht="15" hidden="false" customHeight="false" outlineLevel="0" collapsed="false">
      <c r="B21" s="15" t="s">
        <v>89</v>
      </c>
      <c r="D21" s="17" t="n">
        <f aca="false">SUM($D$11:$H$11)</f>
        <v>105265.59403105</v>
      </c>
      <c r="I21" s="2" t="s">
        <v>409</v>
      </c>
    </row>
    <row r="22" customFormat="false" ht="15" hidden="false" customHeight="false" outlineLevel="0" collapsed="false">
      <c r="B22" s="4" t="s">
        <v>410</v>
      </c>
      <c r="D22" s="31" t="n">
        <f aca="false">D21+D18</f>
        <v>432425.186610631</v>
      </c>
      <c r="I22" s="2" t="s">
        <v>411</v>
      </c>
    </row>
    <row r="23" customFormat="false" ht="15" hidden="false" customHeight="false" outlineLevel="0" collapsed="false">
      <c r="B23" s="15" t="s">
        <v>412</v>
      </c>
      <c r="D23" s="17" t="n">
        <f aca="false">Demonstrativos!K65</f>
        <v>68192</v>
      </c>
      <c r="I23" s="2" t="s">
        <v>413</v>
      </c>
    </row>
    <row r="24" customFormat="false" ht="15" hidden="false" customHeight="false" outlineLevel="0" collapsed="false">
      <c r="B24" s="15" t="s">
        <v>414</v>
      </c>
      <c r="D24" s="17" t="n">
        <f aca="false">Demonstrativos!K40</f>
        <v>4832</v>
      </c>
      <c r="I24" s="2" t="s">
        <v>415</v>
      </c>
    </row>
    <row r="25" customFormat="false" ht="15" hidden="false" customHeight="false" outlineLevel="0" collapsed="false">
      <c r="B25" s="15" t="s">
        <v>416</v>
      </c>
      <c r="D25" s="17" t="n">
        <f aca="false">Demonstrativos!K31</f>
        <v>27248</v>
      </c>
      <c r="I25" s="2" t="s">
        <v>417</v>
      </c>
    </row>
    <row r="26" customFormat="false" ht="15" hidden="false" customHeight="false" outlineLevel="0" collapsed="false">
      <c r="B26" s="15" t="s">
        <v>418</v>
      </c>
      <c r="D26" s="17" t="n">
        <f aca="false">Premissas!$D$34</f>
        <v>0</v>
      </c>
      <c r="I26" s="2" t="s">
        <v>419</v>
      </c>
    </row>
    <row r="27" customFormat="false" ht="15" hidden="false" customHeight="false" outlineLevel="0" collapsed="false">
      <c r="B27" s="4" t="s">
        <v>420</v>
      </c>
      <c r="D27" s="31" t="n">
        <f aca="false">D22-D23-D24+D25-D26</f>
        <v>386649.186610631</v>
      </c>
      <c r="I27" s="2" t="s">
        <v>421</v>
      </c>
    </row>
    <row r="28" customFormat="false" ht="15" hidden="false" customHeight="false" outlineLevel="0" collapsed="false">
      <c r="B28" s="15" t="s">
        <v>422</v>
      </c>
      <c r="D28" s="24" t="n">
        <f aca="false">Premissas!$D$38</f>
        <v>4072.366</v>
      </c>
      <c r="I28" s="2" t="s">
        <v>423</v>
      </c>
    </row>
    <row r="29" customFormat="false" ht="15" hidden="false" customHeight="false" outlineLevel="0" collapsed="false">
      <c r="B29" s="4" t="s">
        <v>24</v>
      </c>
      <c r="D29" s="25" t="n">
        <f aca="false">D27/D28</f>
        <v>94.9446063076431</v>
      </c>
      <c r="I29" s="2" t="s">
        <v>424</v>
      </c>
    </row>
    <row r="30" customFormat="false" ht="15" hidden="false" customHeight="false" outlineLevel="0" collapsed="false">
      <c r="B30" s="15" t="s">
        <v>26</v>
      </c>
      <c r="D30" s="16" t="n">
        <f aca="false">Premissas!$D$39</f>
        <v>67.64</v>
      </c>
      <c r="I30" s="2" t="s">
        <v>27</v>
      </c>
    </row>
    <row r="31" customFormat="false" ht="15" hidden="false" customHeight="false" outlineLevel="0" collapsed="false">
      <c r="B31" s="15" t="s">
        <v>425</v>
      </c>
      <c r="D31" s="11" t="n">
        <f aca="false">D29/D30-1</f>
        <v>0.403675433288633</v>
      </c>
      <c r="I31" s="2" t="s">
        <v>29</v>
      </c>
    </row>
    <row r="32" customFormat="false" ht="15" hidden="false" customHeight="false" outlineLevel="0" collapsed="false">
      <c r="B32" s="15" t="s">
        <v>426</v>
      </c>
      <c r="D32" s="11" t="n">
        <f aca="false">D18/D22</f>
        <v>0.756569234886324</v>
      </c>
      <c r="I32" s="2" t="s">
        <v>427</v>
      </c>
    </row>
    <row r="33" customFormat="false" ht="15" hidden="false" customHeight="false" outlineLevel="0" collapsed="false">
      <c r="B33" s="15" t="s">
        <v>428</v>
      </c>
      <c r="D33" s="29" t="n">
        <f aca="false">D22/Projeção!D14</f>
        <v>5.73305533416239</v>
      </c>
      <c r="I33" s="2" t="s">
        <v>429</v>
      </c>
    </row>
    <row r="35" customFormat="false" ht="15" hidden="false" customHeight="false" outlineLevel="0" collapsed="false">
      <c r="B35" s="26" t="s">
        <v>430</v>
      </c>
      <c r="C35" s="27"/>
      <c r="D35" s="27"/>
      <c r="E35" s="27"/>
      <c r="F35" s="27"/>
      <c r="G35" s="27"/>
      <c r="H35" s="27"/>
    </row>
    <row r="36" customFormat="false" ht="15" hidden="false" customHeight="false" outlineLevel="0" collapsed="false">
      <c r="B36" s="4" t="s">
        <v>431</v>
      </c>
      <c r="D36" s="31" t="n">
        <f aca="false">FCFF!D22</f>
        <v>23038.5041423097</v>
      </c>
      <c r="E36" s="31" t="n">
        <f aca="false">FCFF!E22</f>
        <v>25670.1769779103</v>
      </c>
      <c r="F36" s="31" t="n">
        <f aca="false">FCFF!F22</f>
        <v>28742.7178688657</v>
      </c>
      <c r="G36" s="31" t="n">
        <f aca="false">FCFF!G22</f>
        <v>32061.2570596314</v>
      </c>
      <c r="H36" s="31" t="n">
        <f aca="false">FCFF!H22</f>
        <v>35665.578103474</v>
      </c>
      <c r="I36" s="2" t="s">
        <v>432</v>
      </c>
    </row>
    <row r="37" customFormat="false" ht="15" hidden="false" customHeight="false" outlineLevel="0" collapsed="false">
      <c r="B37" s="15" t="s">
        <v>433</v>
      </c>
      <c r="D37" s="23" t="n">
        <f aca="false">1/(1+WACC!$D$24)^D9</f>
        <v>0.963057230697192</v>
      </c>
      <c r="E37" s="23" t="n">
        <f aca="false">1/(1+WACC!$D$24)^E9</f>
        <v>0.86074582946693</v>
      </c>
      <c r="F37" s="23" t="n">
        <f aca="false">1/(1+WACC!$D$24)^F9</f>
        <v>0.741338228885366</v>
      </c>
      <c r="G37" s="23" t="n">
        <f aca="false">1/(1+WACC!$D$24)^G9</f>
        <v>0.638495535839255</v>
      </c>
      <c r="H37" s="23" t="n">
        <f aca="false">1/(1+WACC!$D$24)^H9</f>
        <v>0.549919771302792</v>
      </c>
      <c r="I37" s="2" t="s">
        <v>434</v>
      </c>
    </row>
    <row r="38" customFormat="false" ht="15" hidden="false" customHeight="false" outlineLevel="0" collapsed="false">
      <c r="B38" s="15" t="s">
        <v>435</v>
      </c>
      <c r="D38" s="17" t="n">
        <f aca="false">D36*D7*D37</f>
        <v>11184.8800870152</v>
      </c>
      <c r="E38" s="17" t="n">
        <f aca="false">E36*E7*E37</f>
        <v>22095.4977754143</v>
      </c>
      <c r="F38" s="17" t="n">
        <f aca="false">F36*F7*F37</f>
        <v>21308.0755582567</v>
      </c>
      <c r="G38" s="17" t="n">
        <f aca="false">G36*G7*G37</f>
        <v>20470.9695059695</v>
      </c>
      <c r="H38" s="17" t="n">
        <f aca="false">H36*H7*H37</f>
        <v>19613.2065540443</v>
      </c>
      <c r="I38" s="2" t="s">
        <v>436</v>
      </c>
    </row>
    <row r="39" customFormat="false" ht="15" hidden="false" customHeight="false" outlineLevel="0" collapsed="false">
      <c r="B39" s="15" t="s">
        <v>437</v>
      </c>
      <c r="D39" s="18" t="n">
        <f aca="false">WACC!$D$24</f>
        <v>0.16107034</v>
      </c>
      <c r="I39" s="2" t="s">
        <v>438</v>
      </c>
    </row>
    <row r="40" customFormat="false" ht="15" hidden="false" customHeight="false" outlineLevel="0" collapsed="false">
      <c r="B40" s="15" t="s">
        <v>343</v>
      </c>
      <c r="D40" s="17" t="n">
        <f aca="false">FCFF!D27</f>
        <v>51464.6704385988</v>
      </c>
      <c r="I40" s="2" t="s">
        <v>439</v>
      </c>
    </row>
    <row r="41" customFormat="false" ht="15" hidden="false" customHeight="false" outlineLevel="0" collapsed="false">
      <c r="B41" s="15" t="s">
        <v>440</v>
      </c>
      <c r="D41" s="17" t="n">
        <f aca="false">D40*(1+D15)/(D39-D15)/(1+D39)^H8</f>
        <v>215628.762488522</v>
      </c>
      <c r="I41" s="2" t="s">
        <v>441</v>
      </c>
    </row>
    <row r="42" customFormat="false" ht="15" hidden="false" customHeight="false" outlineLevel="0" collapsed="false">
      <c r="B42" s="4" t="s">
        <v>442</v>
      </c>
      <c r="D42" s="31" t="n">
        <f aca="false">SUM($D$38:$H$38)+D41-D24+D25-D26</f>
        <v>332717.391969222</v>
      </c>
      <c r="I42" s="2" t="s">
        <v>443</v>
      </c>
    </row>
    <row r="43" customFormat="false" ht="15" hidden="false" customHeight="false" outlineLevel="0" collapsed="false">
      <c r="B43" s="15" t="s">
        <v>444</v>
      </c>
      <c r="D43" s="16" t="n">
        <f aca="false">D42/D28</f>
        <v>81.7012498309882</v>
      </c>
      <c r="I43" s="2" t="s">
        <v>445</v>
      </c>
    </row>
    <row r="45" customFormat="false" ht="15" hidden="false" customHeight="false" outlineLevel="0" collapsed="false">
      <c r="B45" s="26" t="s">
        <v>446</v>
      </c>
      <c r="C45" s="27"/>
      <c r="D45" s="27"/>
      <c r="E45" s="27"/>
      <c r="F45" s="27"/>
      <c r="G45" s="27"/>
      <c r="H45" s="27"/>
    </row>
    <row r="46" customFormat="false" ht="15" hidden="false" customHeight="false" outlineLevel="0" collapsed="false">
      <c r="C46" s="13" t="s">
        <v>447</v>
      </c>
      <c r="D46" s="34" t="n">
        <f aca="false">$D$15+-2*0.005</f>
        <v>0.025</v>
      </c>
      <c r="E46" s="34" t="n">
        <f aca="false">$D$15+-1*0.005</f>
        <v>0.03</v>
      </c>
      <c r="F46" s="34" t="n">
        <f aca="false">$D$15+0*0.005</f>
        <v>0.035</v>
      </c>
      <c r="G46" s="34" t="n">
        <f aca="false">$D$15+1*0.005</f>
        <v>0.04</v>
      </c>
      <c r="H46" s="34" t="n">
        <f aca="false">$D$15+2*0.005</f>
        <v>0.045</v>
      </c>
      <c r="I46" s="2" t="s">
        <v>448</v>
      </c>
    </row>
    <row r="47" customFormat="false" ht="15" hidden="false" customHeight="false" outlineLevel="0" collapsed="false">
      <c r="C47" s="34" t="n">
        <f aca="false">$D$14+-2*0.01</f>
        <v>0.11117675075</v>
      </c>
      <c r="D47" s="16" t="n">
        <f aca="false">(SUMPRODUCT($D$6:$H$6*$D$7:$H$7/(1+$C47)^$D$9:$H$9)+$D$16*(1+D$46)/($C47-D$46)/(1+$C47)^$H$8-$D$23-$D$24+$D$25-$D$26)/$D$28</f>
        <v>111.885663287535</v>
      </c>
      <c r="E47" s="16" t="n">
        <f aca="false">(SUMPRODUCT($D$6:$H$6*$D$7:$H$7/(1+$C47)^$D$9:$H$9)+$D$16*(1+E$46)/($C47-E$46)/(1+$C47)^$H$8-$D$23-$D$24+$D$25-$D$26)/$D$28</f>
        <v>118.310598845127</v>
      </c>
      <c r="F47" s="16" t="n">
        <f aca="false">(SUMPRODUCT($D$6:$H$6*$D$7:$H$7/(1+$C47)^$D$9:$H$9)+$D$16*(1+F$46)/($C47-F$46)/(1+$C47)^$H$8-$D$23-$D$24+$D$25-$D$26)/$D$28</f>
        <v>125.578959134587</v>
      </c>
      <c r="G47" s="16" t="n">
        <f aca="false">(SUMPRODUCT($D$6:$H$6*$D$7:$H$7/(1+$C47)^$D$9:$H$9)+$D$16*(1+G$46)/($C47-G$46)/(1+$C47)^$H$8-$D$23-$D$24+$D$25-$D$26)/$D$28</f>
        <v>133.868489990682</v>
      </c>
      <c r="H47" s="16" t="n">
        <f aca="false">(SUMPRODUCT($D$6:$H$6*$D$7:$H$7/(1+$C47)^$D$9:$H$9)+$D$16*(1+H$46)/($C47-H$46)/(1+$C47)^$H$8-$D$23-$D$24+$D$25-$D$26)/$D$28</f>
        <v>143.410655761932</v>
      </c>
    </row>
    <row r="48" customFormat="false" ht="15" hidden="false" customHeight="false" outlineLevel="0" collapsed="false">
      <c r="C48" s="34" t="n">
        <f aca="false">$D$14+-1*0.01</f>
        <v>0.12117675075</v>
      </c>
      <c r="D48" s="16" t="n">
        <f aca="false">(SUMPRODUCT($D$6:$H$6*$D$7:$H$7/(1+$C48)^$D$9:$H$9)+$D$16*(1+D$46)/($C48-D$46)/(1+$C48)^$H$8-$D$23-$D$24+$D$25-$D$26)/$D$28</f>
        <v>97.933713472542</v>
      </c>
      <c r="E48" s="16" t="n">
        <f aca="false">(SUMPRODUCT($D$6:$H$6*$D$7:$H$7/(1+$C48)^$D$9:$H$9)+$D$16*(1+E$46)/($C48-E$46)/(1+$C48)^$H$8-$D$23-$D$24+$D$25-$D$26)/$D$28</f>
        <v>102.900803963437</v>
      </c>
      <c r="F48" s="16" t="n">
        <f aca="false">(SUMPRODUCT($D$6:$H$6*$D$7:$H$7/(1+$C48)^$D$9:$H$9)+$D$16*(1+F$46)/($C48-F$46)/(1+$C48)^$H$8-$D$23-$D$24+$D$25-$D$26)/$D$28</f>
        <v>108.444278507765</v>
      </c>
      <c r="G48" s="16" t="n">
        <f aca="false">(SUMPRODUCT($D$6:$H$6*$D$7:$H$7/(1+$C48)^$D$9:$H$9)+$D$16*(1+G$46)/($C48-G$46)/(1+$C48)^$H$8-$D$23-$D$24+$D$25-$D$26)/$D$28</f>
        <v>114.670642486951</v>
      </c>
      <c r="H48" s="16" t="n">
        <f aca="false">(SUMPRODUCT($D$6:$H$6*$D$7:$H$7/(1+$C48)^$D$9:$H$9)+$D$16*(1+H$46)/($C48-H$46)/(1+$C48)^$H$8-$D$23-$D$24+$D$25-$D$26)/$D$28</f>
        <v>121.714363982424</v>
      </c>
    </row>
    <row r="49" customFormat="false" ht="15" hidden="false" customHeight="false" outlineLevel="0" collapsed="false">
      <c r="C49" s="34" t="n">
        <f aca="false">$D$14+0*0.01</f>
        <v>0.13117675075</v>
      </c>
      <c r="D49" s="16" t="n">
        <f aca="false">(SUMPRODUCT($D$6:$H$6*$D$7:$H$7/(1+$C49)^$D$9:$H$9)+$D$16*(1+D$46)/($C49-D$46)/(1+$C49)^$H$8-$D$23-$D$24+$D$25-$D$26)/$D$28</f>
        <v>86.6752149546068</v>
      </c>
      <c r="E49" s="16" t="n">
        <f aca="false">(SUMPRODUCT($D$6:$H$6*$D$7:$H$7/(1+$C49)^$D$9:$H$9)+$D$16*(1+E$46)/($C49-E$46)/(1+$C49)^$H$8-$D$23-$D$24+$D$25-$D$26)/$D$28</f>
        <v>90.6055803059333</v>
      </c>
      <c r="F49" s="25" t="n">
        <f aca="false">(SUMPRODUCT($D$6:$H$6*$D$7:$H$7/(1+$C49)^$D$9:$H$9)+$D$16*(1+F$46)/($C49-F$46)/(1+$C49)^$H$8-$D$23-$D$24+$D$25-$D$26)/$D$28</f>
        <v>94.9446063076431</v>
      </c>
      <c r="G49" s="16" t="n">
        <f aca="false">(SUMPRODUCT($D$6:$H$6*$D$7:$H$7/(1+$C49)^$D$9:$H$9)+$D$16*(1+G$46)/($C49-G$46)/(1+$C49)^$H$8-$D$23-$D$24+$D$25-$D$26)/$D$28</f>
        <v>99.7595240214417</v>
      </c>
      <c r="H49" s="16" t="n">
        <f aca="false">(SUMPRODUCT($D$6:$H$6*$D$7:$H$7/(1+$C49)^$D$9:$H$9)+$D$16*(1+H$46)/($C49-H$46)/(1+$C49)^$H$8-$D$23-$D$24+$D$25-$D$26)/$D$28</f>
        <v>105.133167571605</v>
      </c>
    </row>
    <row r="50" customFormat="false" ht="15" hidden="false" customHeight="false" outlineLevel="0" collapsed="false">
      <c r="C50" s="34" t="n">
        <f aca="false">$D$14+1*0.01</f>
        <v>0.14117675075</v>
      </c>
      <c r="D50" s="16" t="n">
        <f aca="false">(SUMPRODUCT($D$6:$H$6*$D$7:$H$7/(1+$C50)^$D$9:$H$9)+$D$16*(1+D$46)/($C50-D$46)/(1+$C50)^$H$8-$D$23-$D$24+$D$25-$D$26)/$D$28</f>
        <v>77.4110248998399</v>
      </c>
      <c r="E50" s="16" t="n">
        <f aca="false">(SUMPRODUCT($D$6:$H$6*$D$7:$H$7/(1+$C50)^$D$9:$H$9)+$D$16*(1+E$46)/($C50-E$46)/(1+$C50)^$H$8-$D$23-$D$24+$D$25-$D$26)/$D$28</f>
        <v>80.5807063123081</v>
      </c>
      <c r="F50" s="16" t="n">
        <f aca="false">(SUMPRODUCT($D$6:$H$6*$D$7:$H$7/(1+$C50)^$D$9:$H$9)+$D$16*(1+F$46)/($C50-F$46)/(1+$C50)^$H$8-$D$23-$D$24+$D$25-$D$26)/$D$28</f>
        <v>84.0489164883783</v>
      </c>
      <c r="G50" s="16" t="n">
        <f aca="false">(SUMPRODUCT($D$6:$H$6*$D$7:$H$7/(1+$C50)^$D$9:$H$9)+$D$16*(1+G$46)/($C50-G$46)/(1+$C50)^$H$8-$D$23-$D$24+$D$25-$D$26)/$D$28</f>
        <v>87.8599139303333</v>
      </c>
      <c r="H50" s="16" t="n">
        <f aca="false">(SUMPRODUCT($D$6:$H$6*$D$7:$H$7/(1+$C50)^$D$9:$H$9)+$D$16*(1+H$46)/($C50-H$46)/(1+$C50)^$H$8-$D$23-$D$24+$D$25-$D$26)/$D$28</f>
        <v>92.067160716567</v>
      </c>
    </row>
    <row r="51" customFormat="false" ht="15" hidden="false" customHeight="false" outlineLevel="0" collapsed="false">
      <c r="C51" s="34" t="n">
        <f aca="false">$D$14+2*0.01</f>
        <v>0.15117675075</v>
      </c>
      <c r="D51" s="16" t="n">
        <f aca="false">(SUMPRODUCT($D$6:$H$6*$D$7:$H$7/(1+$C51)^$D$9:$H$9)+$D$16*(1+D$46)/($C51-D$46)/(1+$C51)^$H$8-$D$23-$D$24+$D$25-$D$26)/$D$28</f>
        <v>69.6638664549153</v>
      </c>
      <c r="E51" s="16" t="n">
        <f aca="false">(SUMPRODUCT($D$6:$H$6*$D$7:$H$7/(1+$C51)^$D$9:$H$9)+$D$16*(1+E$46)/($C51-E$46)/(1+$C51)^$H$8-$D$23-$D$24+$D$25-$D$26)/$D$28</f>
        <v>72.2608713618896</v>
      </c>
      <c r="F51" s="16" t="n">
        <f aca="false">(SUMPRODUCT($D$6:$H$6*$D$7:$H$7/(1+$C51)^$D$9:$H$9)+$D$16*(1+F$46)/($C51-F$46)/(1+$C51)^$H$8-$D$23-$D$24+$D$25-$D$26)/$D$28</f>
        <v>75.0814153926739</v>
      </c>
      <c r="G51" s="16" t="n">
        <f aca="false">(SUMPRODUCT($D$6:$H$6*$D$7:$H$7/(1+$C51)^$D$9:$H$9)+$D$16*(1+G$46)/($C51-G$46)/(1+$C51)^$H$8-$D$23-$D$24+$D$25-$D$26)/$D$28</f>
        <v>78.1556585117799</v>
      </c>
      <c r="H51" s="16" t="n">
        <f aca="false">(SUMPRODUCT($D$6:$H$6*$D$7:$H$7/(1+$C51)^$D$9:$H$9)+$D$16*(1+H$46)/($C51-H$46)/(1+$C51)^$H$8-$D$23-$D$24+$D$25-$D$26)/$D$28</f>
        <v>81.5194417700774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17" min="3" style="0" width="15"/>
  </cols>
  <sheetData>
    <row r="1" customFormat="false" ht="17.35" hidden="false" customHeight="false" outlineLevel="0" collapsed="false">
      <c r="B1" s="1" t="s">
        <v>449</v>
      </c>
    </row>
    <row r="2" customFormat="false" ht="15" hidden="false" customHeight="false" outlineLevel="0" collapsed="false">
      <c r="B2" s="2" t="s">
        <v>450</v>
      </c>
    </row>
    <row r="4" customFormat="false" ht="15" hidden="false" customHeight="false" outlineLevel="0" collapsed="false">
      <c r="B4" s="8" t="s">
        <v>451</v>
      </c>
      <c r="C4" s="9" t="s">
        <v>452</v>
      </c>
      <c r="D4" s="9" t="s">
        <v>453</v>
      </c>
      <c r="E4" s="9" t="s">
        <v>454</v>
      </c>
      <c r="F4" s="9" t="s">
        <v>455</v>
      </c>
      <c r="G4" s="9" t="s">
        <v>233</v>
      </c>
      <c r="H4" s="9" t="s">
        <v>456</v>
      </c>
      <c r="I4" s="9" t="s">
        <v>457</v>
      </c>
      <c r="J4" s="9" t="s">
        <v>262</v>
      </c>
      <c r="K4" s="9" t="s">
        <v>266</v>
      </c>
      <c r="L4" s="9" t="s">
        <v>458</v>
      </c>
      <c r="M4" s="9" t="s">
        <v>459</v>
      </c>
      <c r="N4" s="9" t="s">
        <v>460</v>
      </c>
      <c r="O4" s="9" t="s">
        <v>461</v>
      </c>
      <c r="P4" s="9" t="s">
        <v>462</v>
      </c>
      <c r="Q4" s="9" t="s">
        <v>463</v>
      </c>
    </row>
    <row r="5" customFormat="false" ht="15" hidden="false" customHeight="false" outlineLevel="0" collapsed="false">
      <c r="B5" s="0" t="s">
        <v>5</v>
      </c>
      <c r="C5" s="35" t="s">
        <v>464</v>
      </c>
      <c r="D5" s="36" t="n">
        <v>67.64</v>
      </c>
      <c r="E5" s="37" t="n">
        <v>4072.366</v>
      </c>
      <c r="F5" s="38" t="n">
        <v>275454.8362</v>
      </c>
      <c r="G5" s="38" t="n">
        <v>68192</v>
      </c>
      <c r="H5" s="38" t="n">
        <v>4832</v>
      </c>
      <c r="I5" s="38" t="n">
        <f aca="false">F5+G5+H5</f>
        <v>348478.8362</v>
      </c>
      <c r="J5" s="38" t="n">
        <v>51933</v>
      </c>
      <c r="K5" s="38" t="n">
        <v>34110</v>
      </c>
      <c r="L5" s="38" t="n">
        <v>10369</v>
      </c>
      <c r="M5" s="38" t="n">
        <v>196635</v>
      </c>
      <c r="N5" s="39" t="n">
        <f aca="false">I5/J5</f>
        <v>6.71016186625075</v>
      </c>
      <c r="O5" s="39" t="n">
        <f aca="false">I5/K5</f>
        <v>10.2163247200235</v>
      </c>
      <c r="P5" s="39" t="n">
        <f aca="false">IF(L5&gt;0,F5/L5,"n.a.")</f>
        <v>26.5652267528209</v>
      </c>
      <c r="Q5" s="39" t="n">
        <f aca="false">F5/M5</f>
        <v>1.40084337071223</v>
      </c>
    </row>
    <row r="6" customFormat="false" ht="15" hidden="false" customHeight="false" outlineLevel="0" collapsed="false">
      <c r="B6" s="0" t="s">
        <v>9</v>
      </c>
      <c r="C6" s="35" t="s">
        <v>465</v>
      </c>
      <c r="D6" s="36" t="n">
        <v>6.36</v>
      </c>
      <c r="E6" s="37" t="n">
        <v>1326.0939</v>
      </c>
      <c r="F6" s="38" t="n">
        <v>8433.9575</v>
      </c>
      <c r="G6" s="38" t="n">
        <v>39079.806</v>
      </c>
      <c r="H6" s="38" t="n">
        <v>3074.044</v>
      </c>
      <c r="I6" s="38" t="n">
        <f aca="false">F6+G6+H6</f>
        <v>50587.8075</v>
      </c>
      <c r="J6" s="38" t="n">
        <v>7727.263</v>
      </c>
      <c r="K6" s="38" t="n">
        <v>3345.416</v>
      </c>
      <c r="L6" s="38" t="n">
        <v>-2626.882</v>
      </c>
      <c r="M6" s="38" t="n">
        <v>12166.332</v>
      </c>
      <c r="N6" s="39" t="n">
        <f aca="false">I6/J6</f>
        <v>6.54666568227327</v>
      </c>
      <c r="O6" s="39" t="n">
        <f aca="false">I6/K6</f>
        <v>15.1215297290382</v>
      </c>
      <c r="P6" s="39" t="str">
        <f aca="false">IF(L6&gt;0,F6/L6,"n.a.")</f>
        <v>n.a.</v>
      </c>
      <c r="Q6" s="39" t="n">
        <f aca="false">F6/M6</f>
        <v>0.693221054628462</v>
      </c>
    </row>
    <row r="7" customFormat="false" ht="15" hidden="false" customHeight="false" outlineLevel="0" collapsed="false">
      <c r="B7" s="0" t="s">
        <v>10</v>
      </c>
      <c r="C7" s="35" t="s">
        <v>465</v>
      </c>
      <c r="D7" s="36" t="n">
        <v>24.77</v>
      </c>
      <c r="E7" s="37" t="n">
        <v>1963.1806</v>
      </c>
      <c r="F7" s="38" t="n">
        <v>46089.0479</v>
      </c>
      <c r="G7" s="38" t="n">
        <v>8117.595</v>
      </c>
      <c r="H7" s="38" t="n">
        <v>190.194</v>
      </c>
      <c r="I7" s="38" t="n">
        <f aca="false">F7+G7+H7</f>
        <v>54396.8369</v>
      </c>
      <c r="J7" s="38" t="n">
        <v>8730.516</v>
      </c>
      <c r="K7" s="38" t="n">
        <v>5034.141</v>
      </c>
      <c r="L7" s="38" t="n">
        <v>2237.081</v>
      </c>
      <c r="M7" s="38" t="n">
        <v>53544.554</v>
      </c>
      <c r="N7" s="39" t="n">
        <f aca="false">I7/J7</f>
        <v>6.23065542746843</v>
      </c>
      <c r="O7" s="39" t="n">
        <f aca="false">I7/K7</f>
        <v>10.8055846866427</v>
      </c>
      <c r="P7" s="39" t="n">
        <f aca="false">IF(L7&gt;0,F7/L7,"n.a.")</f>
        <v>20.6023152045009</v>
      </c>
      <c r="Q7" s="39" t="n">
        <f aca="false">F7/M7</f>
        <v>0.860760702199518</v>
      </c>
    </row>
    <row r="8" customFormat="false" ht="15" hidden="false" customHeight="false" outlineLevel="0" collapsed="false">
      <c r="B8" s="0" t="s">
        <v>466</v>
      </c>
      <c r="C8" s="35" t="s">
        <v>465</v>
      </c>
      <c r="D8" s="36" t="n">
        <v>7.21</v>
      </c>
      <c r="E8" s="37" t="n">
        <v>1230.9427</v>
      </c>
      <c r="F8" s="38" t="n">
        <v>8625.6879</v>
      </c>
      <c r="G8" s="38" t="n">
        <v>-599.249</v>
      </c>
      <c r="H8" s="38" t="n">
        <v>2893.937</v>
      </c>
      <c r="I8" s="38" t="n">
        <f aca="false">F8+G8+H8</f>
        <v>10920.3759</v>
      </c>
      <c r="J8" s="38" t="n">
        <v>164.986</v>
      </c>
      <c r="K8" s="38" t="n">
        <v>-982.31</v>
      </c>
      <c r="L8" s="38" t="n">
        <v>-2320.418</v>
      </c>
      <c r="M8" s="38" t="n">
        <v>20751.154</v>
      </c>
      <c r="N8" s="39" t="n">
        <f aca="false">I8/J8</f>
        <v>66.1897124604512</v>
      </c>
      <c r="O8" s="39" t="n">
        <f aca="false">I8/K8</f>
        <v>-11.1170362716454</v>
      </c>
      <c r="P8" s="39" t="str">
        <f aca="false">IF(L8&gt;0,F8/L8,"n.a.")</f>
        <v>n.a.</v>
      </c>
      <c r="Q8" s="39" t="n">
        <f aca="false">F8/M8</f>
        <v>0.415672684998627</v>
      </c>
    </row>
    <row r="9" customFormat="false" ht="15" hidden="false" customHeight="false" outlineLevel="0" collapsed="false">
      <c r="B9" s="0" t="s">
        <v>467</v>
      </c>
      <c r="C9" s="35" t="s">
        <v>464</v>
      </c>
      <c r="D9" s="36" t="n">
        <v>5.06</v>
      </c>
      <c r="E9" s="37" t="n">
        <v>5402.4354</v>
      </c>
      <c r="F9" s="38" t="n">
        <v>27336.3233</v>
      </c>
      <c r="G9" s="38" t="n">
        <v>1025.104</v>
      </c>
      <c r="H9" s="38" t="n">
        <v>0.19</v>
      </c>
      <c r="I9" s="38" t="n">
        <f aca="false">F9+G9+H9</f>
        <v>28361.6173</v>
      </c>
      <c r="J9" s="38" t="n">
        <v>6003.736</v>
      </c>
      <c r="K9" s="38" t="n">
        <v>4642.024</v>
      </c>
      <c r="L9" s="38" t="n">
        <v>2333.063</v>
      </c>
      <c r="M9" s="38" t="n">
        <v>7339.411</v>
      </c>
      <c r="N9" s="39" t="n">
        <f aca="false">I9/J9</f>
        <v>4.72399474260694</v>
      </c>
      <c r="O9" s="39" t="n">
        <f aca="false">I9/K9</f>
        <v>6.10975240541626</v>
      </c>
      <c r="P9" s="39" t="n">
        <f aca="false">IF(L9&gt;0,F9/L9,"n.a.")</f>
        <v>11.7169246179807</v>
      </c>
      <c r="Q9" s="39" t="n">
        <f aca="false">F9/M9</f>
        <v>3.72459360839719</v>
      </c>
    </row>
    <row r="11" customFormat="false" ht="15" hidden="false" customHeight="false" outlineLevel="0" collapsed="false">
      <c r="B11" s="4" t="s">
        <v>468</v>
      </c>
      <c r="N11" s="40" t="n">
        <f aca="false">MEDIAN(N6,N7,N8,N9)</f>
        <v>6.38866055487085</v>
      </c>
      <c r="O11" s="40" t="n">
        <f aca="false">MEDIAN(O6,O7,O8,O9)</f>
        <v>8.45766854602946</v>
      </c>
      <c r="P11" s="40" t="n">
        <f aca="false">MEDIAN(P6,P7,P8,P9)</f>
        <v>16.1596199112408</v>
      </c>
      <c r="Q11" s="40" t="n">
        <f aca="false">MEDIAN(Q6,Q7,Q8,Q9)</f>
        <v>0.77699087841399</v>
      </c>
    </row>
    <row r="12" customFormat="false" ht="15" hidden="false" customHeight="false" outlineLevel="0" collapsed="false">
      <c r="B12" s="4" t="s">
        <v>469</v>
      </c>
      <c r="N12" s="40" t="n">
        <f aca="false">MEDIAN(N5,N7,N8,N9)</f>
        <v>6.47040864685959</v>
      </c>
      <c r="O12" s="40" t="n">
        <f aca="false">MEDIAN(O5,O7,O8,O9)</f>
        <v>8.16303856271986</v>
      </c>
      <c r="P12" s="40" t="n">
        <f aca="false">MEDIAN(P5,P7,P8,P9)</f>
        <v>20.6023152045009</v>
      </c>
      <c r="Q12" s="40" t="n">
        <f aca="false">MEDIAN(Q5,Q7,Q8,Q9)</f>
        <v>1.13080203645588</v>
      </c>
    </row>
    <row r="13" customFormat="false" ht="15" hidden="false" customHeight="false" outlineLevel="0" collapsed="false">
      <c r="B13" s="4" t="s">
        <v>470</v>
      </c>
      <c r="N13" s="40" t="n">
        <f aca="false">MEDIAN(N5,N6,N8,N9)</f>
        <v>6.62841377426201</v>
      </c>
      <c r="O13" s="40" t="n">
        <f aca="false">MEDIAN(O5,O6,O8,O9)</f>
        <v>8.16303856271986</v>
      </c>
      <c r="P13" s="40" t="n">
        <f aca="false">MEDIAN(P5,P6,P8,P9)</f>
        <v>19.1410756854008</v>
      </c>
      <c r="Q13" s="40" t="n">
        <f aca="false">MEDIAN(Q5,Q6,Q8,Q9)</f>
        <v>1.04703221267035</v>
      </c>
    </row>
    <row r="15" customFormat="false" ht="15" hidden="false" customHeight="false" outlineLevel="0" collapsed="false">
      <c r="B15" s="13" t="str">
        <f aca="false">"Preço por ação implícito - "&amp;Painel!$D$5</f>
        <v>Preço por ação implícito - Vale (VALE3)</v>
      </c>
      <c r="C15" s="13" t="s">
        <v>471</v>
      </c>
      <c r="D15" s="13" t="s">
        <v>251</v>
      </c>
    </row>
    <row r="16" customFormat="false" ht="15" hidden="false" customHeight="false" outlineLevel="0" collapsed="false">
      <c r="B16" s="0" t="s">
        <v>472</v>
      </c>
      <c r="C16" s="36" t="n">
        <f aca="false">IF(INDEX(J5:J7,Painel!$Y$5)&gt;0,(INDEX(N11:N13,Painel!$Y$5)*INDEX(J5:J7,Painel!$Y$5)-INDEX(G5:G7,Painel!$Y$5)-INDEX(H5:H7,Painel!$Y$5))/INDEX(E5:E7,Painel!$Y$5),"n.a.")</f>
        <v>63.5400424706689</v>
      </c>
      <c r="D16" s="2" t="s">
        <v>473</v>
      </c>
    </row>
    <row r="17" customFormat="false" ht="15" hidden="false" customHeight="false" outlineLevel="0" collapsed="false">
      <c r="B17" s="0" t="s">
        <v>474</v>
      </c>
      <c r="C17" s="36" t="n">
        <f aca="false">IF(INDEX(K5:K7,Painel!$Y$5)&gt;0,(INDEX(O11:O13,Painel!$Y$5)*INDEX(K5:K7,Painel!$Y$5)-INDEX(G5:G7,Painel!$Y$5)-INDEX(H5:H7,Painel!$Y$5))/INDEX(E5:E7,Painel!$Y$5),"n.a.")</f>
        <v>52.9095553064398</v>
      </c>
      <c r="D17" s="2" t="s">
        <v>475</v>
      </c>
    </row>
    <row r="18" customFormat="false" ht="15" hidden="false" customHeight="false" outlineLevel="0" collapsed="false">
      <c r="B18" s="0" t="s">
        <v>476</v>
      </c>
      <c r="C18" s="36" t="n">
        <f aca="false">IF(INDEX(L5:L7,Painel!$Y$5)&gt;0,INDEX(P11:P13,Painel!$Y$5)*INDEX(L5:L7,Painel!$Y$5)/INDEX(E5:E7,Painel!$Y$5),"n.a.")</f>
        <v>41.1453928403429</v>
      </c>
      <c r="D18" s="2" t="s">
        <v>477</v>
      </c>
    </row>
    <row r="19" customFormat="false" ht="15" hidden="false" customHeight="false" outlineLevel="0" collapsed="false">
      <c r="B19" s="0" t="s">
        <v>478</v>
      </c>
      <c r="C19" s="36" t="n">
        <f aca="false">INDEX(Q11:Q13,Painel!$Y$5)*INDEX(M5:M7,Painel!$Y$5)/INDEX(E5:E7,Painel!$Y$5)</f>
        <v>37.5171586681882</v>
      </c>
      <c r="D19" s="2" t="s">
        <v>479</v>
      </c>
    </row>
    <row r="20" customFormat="false" ht="15" hidden="false" customHeight="false" outlineLevel="0" collapsed="false">
      <c r="B20" s="0" t="s">
        <v>480</v>
      </c>
      <c r="C20" s="36" t="n">
        <f aca="false">'Valor justo'!D29</f>
        <v>94.9446063076431</v>
      </c>
      <c r="D20" s="2" t="s">
        <v>481</v>
      </c>
    </row>
    <row r="21" customFormat="false" ht="15" hidden="false" customHeight="false" outlineLevel="0" collapsed="false">
      <c r="B21" s="0" t="s">
        <v>26</v>
      </c>
      <c r="C21" s="36" t="n">
        <f aca="false">INDEX(D5:D7,Painel!$Y$5)</f>
        <v>67.64</v>
      </c>
      <c r="D21" s="2" t="s">
        <v>27</v>
      </c>
    </row>
    <row r="23" customFormat="false" ht="15" hidden="false" customHeight="false" outlineLevel="0" collapsed="false">
      <c r="B23" s="2" t="s">
        <v>482</v>
      </c>
    </row>
    <row r="24" customFormat="false" ht="15" hidden="false" customHeight="false" outlineLevel="0" collapsed="false">
      <c r="B24" s="2" t="s">
        <v>483</v>
      </c>
    </row>
    <row r="25" customFormat="false" ht="15" hidden="false" customHeight="false" outlineLevel="0" collapsed="false">
      <c r="B25" s="2" t="s">
        <v>484</v>
      </c>
    </row>
    <row r="26" customFormat="false" ht="15" hidden="false" customHeight="false" outlineLevel="0" collapsed="false">
      <c r="B26" s="2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8" min="3" style="0" width="14"/>
    <col collapsed="false" customWidth="true" hidden="false" outlineLevel="0" max="9" min="9" style="0" width="100"/>
  </cols>
  <sheetData>
    <row r="1" customFormat="false" ht="17.35" hidden="false" customHeight="false" outlineLevel="0" collapsed="false">
      <c r="B1" s="1" t="str">
        <f aca="false">"Cenários - "&amp;Painel!$D$5</f>
        <v>Cenários - Vale (VALE3)</v>
      </c>
    </row>
    <row r="2" customFormat="false" ht="15" hidden="false" customHeight="false" outlineLevel="0" collapsed="false">
      <c r="B2" s="2" t="s">
        <v>486</v>
      </c>
    </row>
    <row r="4" customFormat="false" ht="15" hidden="false" customHeight="false" outlineLevel="0" collapsed="false">
      <c r="B4" s="8" t="s">
        <v>487</v>
      </c>
      <c r="C4" s="9"/>
      <c r="D4" s="9" t="s">
        <v>246</v>
      </c>
      <c r="E4" s="9" t="s">
        <v>247</v>
      </c>
      <c r="F4" s="9" t="s">
        <v>248</v>
      </c>
      <c r="G4" s="9" t="s">
        <v>249</v>
      </c>
      <c r="H4" s="9" t="s">
        <v>250</v>
      </c>
      <c r="I4" s="8" t="s">
        <v>23</v>
      </c>
    </row>
    <row r="5" customFormat="false" ht="15" hidden="false" customHeight="false" outlineLevel="0" collapsed="false">
      <c r="B5" s="26" t="s">
        <v>488</v>
      </c>
      <c r="C5" s="27"/>
      <c r="D5" s="27"/>
      <c r="E5" s="27"/>
      <c r="F5" s="27"/>
      <c r="G5" s="27"/>
      <c r="H5" s="27"/>
    </row>
    <row r="6" customFormat="false" ht="15" hidden="false" customHeight="false" outlineLevel="0" collapsed="false">
      <c r="B6" s="15" t="s">
        <v>489</v>
      </c>
      <c r="D6" s="17" t="n">
        <f aca="false">Projeção!D14-Projeção!D13</f>
        <v>76996.65496945</v>
      </c>
      <c r="E6" s="17" t="n">
        <f aca="false">Projeção!E14-Projeção!E13</f>
        <v>82546.4311443464</v>
      </c>
      <c r="F6" s="17" t="n">
        <f aca="false">Projeção!F14-Projeção!F13</f>
        <v>88407.9977763784</v>
      </c>
      <c r="G6" s="17" t="n">
        <f aca="false">Projeção!G14-Projeção!G13</f>
        <v>94596.9964819157</v>
      </c>
      <c r="H6" s="17" t="n">
        <f aca="false">Projeção!H14-Projeção!H13</f>
        <v>101129.805884849</v>
      </c>
      <c r="I6" s="2" t="s">
        <v>490</v>
      </c>
    </row>
    <row r="7" customFormat="false" ht="15" hidden="false" customHeight="false" outlineLevel="0" collapsed="false">
      <c r="B7" s="15" t="s">
        <v>491</v>
      </c>
      <c r="D7" s="17" t="n">
        <f aca="false">Projeção!D17</f>
        <v>3896.4744</v>
      </c>
      <c r="E7" s="17" t="n">
        <f aca="false">Projeção!E17</f>
        <v>3693.02185404644</v>
      </c>
      <c r="F7" s="17" t="n">
        <f aca="false">Projeção!F17</f>
        <v>3548.33432871972</v>
      </c>
      <c r="G7" s="17" t="n">
        <f aca="false">Projeção!G17</f>
        <v>3488.32384932126</v>
      </c>
      <c r="H7" s="17" t="n">
        <f aca="false">Projeção!H17</f>
        <v>3518.97246691831</v>
      </c>
      <c r="I7" s="2" t="s">
        <v>492</v>
      </c>
    </row>
    <row r="8" customFormat="false" ht="15" hidden="false" customHeight="false" outlineLevel="0" collapsed="false">
      <c r="B8" s="15" t="s">
        <v>493</v>
      </c>
      <c r="D8" s="17" t="n">
        <f aca="false">MAX(0,Premissas!$D$19)</f>
        <v>0</v>
      </c>
      <c r="E8" s="17" t="n">
        <f aca="false">MAX(0,Premissas!$E$19)</f>
        <v>0</v>
      </c>
      <c r="F8" s="17" t="n">
        <f aca="false">MAX(0,Premissas!$F$19)</f>
        <v>0</v>
      </c>
      <c r="G8" s="17" t="n">
        <f aca="false">MAX(0,Premissas!$G$19)</f>
        <v>0</v>
      </c>
      <c r="H8" s="17" t="n">
        <f aca="false">MAX(0,Premissas!$H$19)</f>
        <v>0</v>
      </c>
      <c r="I8" s="2" t="s">
        <v>494</v>
      </c>
    </row>
    <row r="9" customFormat="false" ht="15" hidden="false" customHeight="false" outlineLevel="0" collapsed="false">
      <c r="B9" s="4" t="s">
        <v>495</v>
      </c>
      <c r="D9" s="31" t="n">
        <f aca="false">D6+D7+D8</f>
        <v>80893.12936945</v>
      </c>
      <c r="E9" s="31" t="n">
        <f aca="false">E6+E7+E8</f>
        <v>86239.4529983928</v>
      </c>
      <c r="F9" s="31" t="n">
        <f aca="false">F6+F7+F8</f>
        <v>91956.3321050981</v>
      </c>
      <c r="G9" s="31" t="n">
        <f aca="false">G6+G7+G8</f>
        <v>98085.3203312369</v>
      </c>
      <c r="H9" s="31" t="n">
        <f aca="false">H6+H7+H8</f>
        <v>104648.778351767</v>
      </c>
      <c r="I9" s="2" t="s">
        <v>496</v>
      </c>
    </row>
    <row r="10" customFormat="false" ht="15" hidden="false" customHeight="false" outlineLevel="0" collapsed="false">
      <c r="B10" s="26" t="s">
        <v>497</v>
      </c>
      <c r="C10" s="27"/>
      <c r="D10" s="27"/>
      <c r="E10" s="27"/>
      <c r="F10" s="27"/>
      <c r="G10" s="27"/>
      <c r="H10" s="27"/>
    </row>
    <row r="11" customFormat="false" ht="15" hidden="false" customHeight="false" outlineLevel="0" collapsed="false">
      <c r="B11" s="15" t="s">
        <v>141</v>
      </c>
      <c r="D11" s="17" t="n">
        <f aca="false">Projeção!D21</f>
        <v>19937.025559613</v>
      </c>
      <c r="E11" s="17" t="n">
        <f aca="false">Projeção!E21</f>
        <v>21457.322971895</v>
      </c>
      <c r="F11" s="17" t="n">
        <f aca="false">Projeção!F21</f>
        <v>23102.0686828983</v>
      </c>
      <c r="G11" s="17" t="n">
        <f aca="false">Projeção!G21</f>
        <v>24884.9626271665</v>
      </c>
      <c r="H11" s="17" t="n">
        <f aca="false">Projeção!H21</f>
        <v>26813.1908787463</v>
      </c>
      <c r="I11" s="2" t="s">
        <v>498</v>
      </c>
    </row>
    <row r="12" customFormat="false" ht="15" hidden="false" customHeight="false" outlineLevel="0" collapsed="false">
      <c r="B12" s="15" t="s">
        <v>280</v>
      </c>
      <c r="D12" s="17" t="n">
        <f aca="false">Projeção!D25</f>
        <v>31836.633783</v>
      </c>
      <c r="E12" s="17" t="n">
        <f aca="false">Projeção!E25</f>
        <v>32791.1265920933</v>
      </c>
      <c r="F12" s="17" t="n">
        <f aca="false">Projeção!F25</f>
        <v>33772.2896017396</v>
      </c>
      <c r="G12" s="17" t="n">
        <f aca="false">Projeção!G25</f>
        <v>34780.7752615952</v>
      </c>
      <c r="H12" s="17" t="n">
        <f aca="false">Projeção!H25</f>
        <v>35791.9525729322</v>
      </c>
      <c r="I12" s="2" t="s">
        <v>499</v>
      </c>
    </row>
    <row r="13" customFormat="false" ht="15" hidden="false" customHeight="false" outlineLevel="0" collapsed="false">
      <c r="B13" s="15" t="s">
        <v>500</v>
      </c>
      <c r="D13" s="17" t="n">
        <f aca="false">Projeção!D31</f>
        <v>287.373884527304</v>
      </c>
      <c r="E13" s="17" t="n">
        <f aca="false">Projeção!E31</f>
        <v>527.234456494167</v>
      </c>
      <c r="F13" s="17" t="n">
        <f aca="false">Projeção!F31</f>
        <v>545.663951594546</v>
      </c>
      <c r="G13" s="17" t="n">
        <f aca="false">Projeção!G31</f>
        <v>564.73338284369</v>
      </c>
      <c r="H13" s="17" t="n">
        <f aca="false">Projeção!H31</f>
        <v>584.464796614677</v>
      </c>
      <c r="I13" s="2" t="s">
        <v>501</v>
      </c>
    </row>
    <row r="14" customFormat="false" ht="15" hidden="false" customHeight="false" outlineLevel="0" collapsed="false">
      <c r="B14" s="15" t="s">
        <v>502</v>
      </c>
      <c r="D14" s="17" t="n">
        <f aca="false">Projeção!D18</f>
        <v>5793.592</v>
      </c>
      <c r="E14" s="17" t="n">
        <f aca="false">Projeção!E18</f>
        <v>5793.592</v>
      </c>
      <c r="F14" s="17" t="n">
        <f aca="false">Projeção!F18</f>
        <v>5793.592</v>
      </c>
      <c r="G14" s="17" t="n">
        <f aca="false">Projeção!G18</f>
        <v>5793.592</v>
      </c>
      <c r="H14" s="17" t="n">
        <f aca="false">Projeção!H18</f>
        <v>5793.592</v>
      </c>
      <c r="I14" s="2" t="s">
        <v>503</v>
      </c>
    </row>
    <row r="15" customFormat="false" ht="15" hidden="false" customHeight="false" outlineLevel="0" collapsed="false">
      <c r="B15" s="15" t="s">
        <v>504</v>
      </c>
      <c r="D15" s="17" t="n">
        <f aca="false">MAX(0,-Premissas!$D$19)</f>
        <v>-0</v>
      </c>
      <c r="E15" s="17" t="n">
        <f aca="false">MAX(0,-Premissas!$E$19)</f>
        <v>-0</v>
      </c>
      <c r="F15" s="17" t="n">
        <f aca="false">MAX(0,-Premissas!$F$19)</f>
        <v>-0</v>
      </c>
      <c r="G15" s="17" t="n">
        <f aca="false">MAX(0,-Premissas!$G$19)</f>
        <v>-0</v>
      </c>
      <c r="H15" s="17" t="n">
        <f aca="false">MAX(0,-Premissas!$H$19)</f>
        <v>-0</v>
      </c>
      <c r="I15" s="2" t="s">
        <v>505</v>
      </c>
    </row>
    <row r="16" customFormat="false" ht="15" hidden="false" customHeight="false" outlineLevel="0" collapsed="false">
      <c r="B16" s="15" t="s">
        <v>506</v>
      </c>
      <c r="D16" s="17" t="n">
        <f aca="false">Projeção!D34</f>
        <v>25212.1424537793</v>
      </c>
      <c r="E16" s="17" t="n">
        <f aca="false">Projeção!E34</f>
        <v>27215.9838724266</v>
      </c>
      <c r="F16" s="17" t="n">
        <f aca="false">Projeção!F34</f>
        <v>29383.8554692766</v>
      </c>
      <c r="G16" s="17" t="n">
        <f aca="false">Projeção!G34</f>
        <v>31733.8145639365</v>
      </c>
      <c r="H16" s="17" t="n">
        <f aca="false">Projeção!H34</f>
        <v>34275.3328247099</v>
      </c>
      <c r="I16" s="2" t="s">
        <v>507</v>
      </c>
    </row>
    <row r="17" customFormat="false" ht="15" hidden="false" customHeight="false" outlineLevel="0" collapsed="false">
      <c r="B17" s="4" t="s">
        <v>508</v>
      </c>
      <c r="D17" s="31" t="n">
        <f aca="false">SUM(D11:D16)</f>
        <v>83066.7676809196</v>
      </c>
      <c r="E17" s="31" t="n">
        <f aca="false">SUM(E11:E16)</f>
        <v>87785.2598929091</v>
      </c>
      <c r="F17" s="31" t="n">
        <f aca="false">SUM(F11:F16)</f>
        <v>92597.4697055089</v>
      </c>
      <c r="G17" s="31" t="n">
        <f aca="false">SUM(G11:G16)</f>
        <v>97757.877835542</v>
      </c>
      <c r="H17" s="31" t="n">
        <f aca="false">SUM(H11:H16)</f>
        <v>103258.533073003</v>
      </c>
      <c r="I17" s="2" t="s">
        <v>509</v>
      </c>
    </row>
    <row r="18" customFormat="false" ht="15" hidden="false" customHeight="false" outlineLevel="0" collapsed="false">
      <c r="B18" s="26" t="s">
        <v>510</v>
      </c>
      <c r="C18" s="27"/>
      <c r="D18" s="27"/>
      <c r="E18" s="27"/>
      <c r="F18" s="27"/>
      <c r="G18" s="27"/>
      <c r="H18" s="27"/>
    </row>
    <row r="19" customFormat="false" ht="15" hidden="false" customHeight="false" outlineLevel="0" collapsed="false">
      <c r="B19" s="4" t="s">
        <v>511</v>
      </c>
      <c r="D19" s="31" t="n">
        <f aca="false">D9-D17</f>
        <v>-2173.63831146962</v>
      </c>
      <c r="E19" s="31" t="n">
        <f aca="false">E9-E17</f>
        <v>-1545.80689451631</v>
      </c>
      <c r="F19" s="31" t="n">
        <f aca="false">F9-F17</f>
        <v>-641.137600410861</v>
      </c>
      <c r="G19" s="31" t="n">
        <f aca="false">G9-G17</f>
        <v>327.442495694937</v>
      </c>
      <c r="H19" s="31" t="n">
        <f aca="false">H9-H17</f>
        <v>1390.24527876402</v>
      </c>
      <c r="I19" s="2" t="s">
        <v>512</v>
      </c>
    </row>
    <row r="20" customFormat="false" ht="15" hidden="false" customHeight="false" outlineLevel="0" collapsed="false">
      <c r="B20" s="15" t="s">
        <v>513</v>
      </c>
      <c r="D20" s="17" t="n">
        <f aca="false">Projeção!D38</f>
        <v>39455.3616885304</v>
      </c>
      <c r="E20" s="17" t="n">
        <f aca="false">Projeção!E38</f>
        <v>37909.5547940141</v>
      </c>
      <c r="F20" s="17" t="n">
        <f aca="false">Projeção!F38</f>
        <v>37268.4171936032</v>
      </c>
      <c r="G20" s="17" t="n">
        <f aca="false">Projeção!G38</f>
        <v>37595.8596892981</v>
      </c>
      <c r="H20" s="17" t="n">
        <f aca="false">Projeção!H38</f>
        <v>38986.1049680622</v>
      </c>
      <c r="I20" s="2" t="s">
        <v>514</v>
      </c>
    </row>
    <row r="21" customFormat="false" ht="15" hidden="false" customHeight="false" outlineLevel="0" collapsed="false">
      <c r="B21" s="15" t="s">
        <v>515</v>
      </c>
      <c r="D21" s="17" t="n">
        <f aca="false">ROUND(D19-Projeção!D35,3)</f>
        <v>0</v>
      </c>
      <c r="E21" s="17" t="n">
        <f aca="false">ROUND(E19-Projeção!E35,3)</f>
        <v>-0</v>
      </c>
      <c r="F21" s="17" t="n">
        <f aca="false">ROUND(F19-Projeção!F35,3)</f>
        <v>0</v>
      </c>
      <c r="G21" s="17" t="n">
        <f aca="false">ROUND(G19-Projeção!G35,3)</f>
        <v>0</v>
      </c>
      <c r="H21" s="17" t="n">
        <f aca="false">ROUND(H19-Projeção!H35,3)</f>
        <v>0</v>
      </c>
      <c r="I21" s="2" t="s">
        <v>516</v>
      </c>
    </row>
    <row r="24" customFormat="false" ht="15" hidden="false" customHeight="false" outlineLevel="0" collapsed="false">
      <c r="B24" s="13" t="s">
        <v>517</v>
      </c>
      <c r="C24" s="13"/>
      <c r="D24" s="13" t="s">
        <v>13</v>
      </c>
      <c r="E24" s="13" t="s">
        <v>8</v>
      </c>
      <c r="F24" s="13" t="s">
        <v>14</v>
      </c>
    </row>
    <row r="25" customFormat="false" ht="15" hidden="false" customHeight="false" outlineLevel="0" collapsed="false">
      <c r="B25" s="4" t="s">
        <v>24</v>
      </c>
      <c r="D25" s="41" t="n">
        <f aca="false">INDEX(D$1:D$72,ROW()+12*Painel!$Y$5)</f>
        <v>56.9203936118611</v>
      </c>
      <c r="E25" s="41" t="n">
        <f aca="false">INDEX(E$1:E$72,ROW()+12*Painel!$Y$5)</f>
        <v>94.9446063076432</v>
      </c>
      <c r="F25" s="41" t="n">
        <f aca="false">INDEX(F$1:F$72,ROW()+12*Painel!$Y$5)</f>
        <v>159.343024237654</v>
      </c>
    </row>
    <row r="26" customFormat="false" ht="15" hidden="false" customHeight="false" outlineLevel="0" collapsed="false">
      <c r="B26" s="15" t="s">
        <v>30</v>
      </c>
      <c r="D26" s="17" t="n">
        <f aca="false">INDEX(D$1:D$72,ROW()+12*Painel!$Y$5)</f>
        <v>277576.67565156</v>
      </c>
      <c r="E26" s="17" t="n">
        <f aca="false">INDEX(E$1:E$72,ROW()+12*Painel!$Y$5)</f>
        <v>432425.186610632</v>
      </c>
      <c r="F26" s="17" t="n">
        <f aca="false">INDEX(F$1:F$72,ROW()+12*Painel!$Y$5)</f>
        <v>694679.114242599</v>
      </c>
    </row>
    <row r="27" customFormat="false" ht="15" hidden="false" customHeight="false" outlineLevel="0" collapsed="false">
      <c r="B27" s="15" t="s">
        <v>32</v>
      </c>
      <c r="D27" s="17" t="n">
        <f aca="false">INDEX(D$1:D$72,ROW()+12*Painel!$Y$5)</f>
        <v>231800.67565156</v>
      </c>
      <c r="E27" s="17" t="n">
        <f aca="false">INDEX(E$1:E$72,ROW()+12*Painel!$Y$5)</f>
        <v>386649.186610632</v>
      </c>
      <c r="F27" s="17" t="n">
        <f aca="false">INDEX(F$1:F$72,ROW()+12*Painel!$Y$5)</f>
        <v>648903.114242599</v>
      </c>
    </row>
    <row r="28" customFormat="false" ht="15" hidden="false" customHeight="false" outlineLevel="0" collapsed="false">
      <c r="B28" s="15" t="s">
        <v>399</v>
      </c>
      <c r="D28" s="11" t="n">
        <f aca="false">INDEX(D$1:D$72,ROW()+12*Painel!$Y$5)</f>
        <v>0.14677675075</v>
      </c>
      <c r="E28" s="11" t="n">
        <f aca="false">INDEX(E$1:E$72,ROW()+12*Painel!$Y$5)</f>
        <v>0.13117675075</v>
      </c>
      <c r="F28" s="11" t="n">
        <f aca="false">INDEX(F$1:F$72,ROW()+12*Painel!$Y$5)</f>
        <v>0.11557675075</v>
      </c>
    </row>
    <row r="29" customFormat="false" ht="15" hidden="false" customHeight="false" outlineLevel="0" collapsed="false">
      <c r="B29" s="15" t="s">
        <v>17</v>
      </c>
      <c r="D29" s="11" t="n">
        <f aca="false">INDEX(D$1:D$72,ROW()+12*Painel!$Y$5)</f>
        <v>0</v>
      </c>
      <c r="E29" s="11" t="n">
        <f aca="false">INDEX(E$1:E$72,ROW()+12*Painel!$Y$5)</f>
        <v>0.0378</v>
      </c>
      <c r="F29" s="11" t="n">
        <f aca="false">INDEX(F$1:F$72,ROW()+12*Painel!$Y$5)</f>
        <v>0.0683</v>
      </c>
    </row>
    <row r="30" customFormat="false" ht="15" hidden="false" customHeight="false" outlineLevel="0" collapsed="false">
      <c r="B30" s="15" t="s">
        <v>518</v>
      </c>
      <c r="D30" s="11" t="n">
        <f aca="false">INDEX(D$1:D$72,ROW()+12*Painel!$Y$5)</f>
        <v>0.3484</v>
      </c>
      <c r="E30" s="11" t="n">
        <f aca="false">INDEX(E$1:E$72,ROW()+12*Painel!$Y$5)</f>
        <v>0.3936</v>
      </c>
      <c r="F30" s="11" t="n">
        <f aca="false">INDEX(F$1:F$72,ROW()+12*Painel!$Y$5)</f>
        <v>0.4542</v>
      </c>
    </row>
    <row r="31" customFormat="false" ht="15" hidden="false" customHeight="false" outlineLevel="0" collapsed="false">
      <c r="B31" s="15" t="s">
        <v>519</v>
      </c>
      <c r="D31" s="17" t="n">
        <f aca="false">INDEX(D$1:D$72,ROW()+12*Painel!$Y$5)</f>
        <v>218059.1355</v>
      </c>
      <c r="E31" s="17" t="n">
        <f aca="false">INDEX(E$1:E$72,ROW()+12*Painel!$Y$5)</f>
        <v>252946.661292807</v>
      </c>
      <c r="F31" s="17" t="n">
        <f aca="false">INDEX(F$1:F$72,ROW()+12*Painel!$Y$5)</f>
        <v>284018.872848175</v>
      </c>
    </row>
    <row r="32" customFormat="false" ht="15" hidden="false" customHeight="false" outlineLevel="0" collapsed="false">
      <c r="B32" s="15" t="s">
        <v>520</v>
      </c>
      <c r="D32" s="17" t="n">
        <f aca="false">INDEX(D$1:D$72,ROW()+12*Painel!$Y$5)</f>
        <v>40797.5333671632</v>
      </c>
      <c r="E32" s="17" t="n">
        <f aca="false">INDEX(E$1:E$72,ROW()+12*Painel!$Y$5)</f>
        <v>38986.1049680622</v>
      </c>
      <c r="F32" s="17" t="n">
        <f aca="false">INDEX(F$1:F$72,ROW()+12*Painel!$Y$5)</f>
        <v>41622.8194530891</v>
      </c>
    </row>
    <row r="33" customFormat="false" ht="15" hidden="false" customHeight="false" outlineLevel="0" collapsed="false">
      <c r="B33" s="15" t="s">
        <v>521</v>
      </c>
      <c r="D33" s="29" t="n">
        <f aca="false">INDEX(D$1:D$72,ROW()+12*Painel!$Y$5)</f>
        <v>0.824772669815776</v>
      </c>
      <c r="E33" s="29" t="n">
        <f aca="false">INDEX(E$1:E$72,ROW()+12*Painel!$Y$5)</f>
        <v>0.647559468993994</v>
      </c>
      <c r="F33" s="29" t="n">
        <f aca="false">INDEX(F$1:F$72,ROW()+12*Painel!$Y$5)</f>
        <v>0.479329634758266</v>
      </c>
    </row>
    <row r="36" customFormat="false" ht="15" hidden="false" customHeight="false" outlineLevel="0" collapsed="false">
      <c r="B36" s="13" t="s">
        <v>5</v>
      </c>
      <c r="C36" s="13"/>
      <c r="D36" s="13" t="s">
        <v>13</v>
      </c>
      <c r="E36" s="13" t="s">
        <v>8</v>
      </c>
      <c r="F36" s="13" t="s">
        <v>14</v>
      </c>
    </row>
    <row r="37" customFormat="false" ht="15" hidden="false" customHeight="false" outlineLevel="0" collapsed="false">
      <c r="B37" s="0" t="s">
        <v>24</v>
      </c>
      <c r="D37" s="16" t="n">
        <v>56.9203936118611</v>
      </c>
      <c r="E37" s="16" t="n">
        <v>94.9446063076432</v>
      </c>
      <c r="F37" s="16" t="n">
        <v>159.343024237654</v>
      </c>
    </row>
    <row r="38" customFormat="false" ht="15" hidden="false" customHeight="false" outlineLevel="0" collapsed="false">
      <c r="B38" s="0" t="s">
        <v>30</v>
      </c>
      <c r="D38" s="17" t="n">
        <v>277576.67565156</v>
      </c>
      <c r="E38" s="17" t="n">
        <v>432425.186610632</v>
      </c>
      <c r="F38" s="17" t="n">
        <v>694679.114242599</v>
      </c>
    </row>
    <row r="39" customFormat="false" ht="15" hidden="false" customHeight="false" outlineLevel="0" collapsed="false">
      <c r="B39" s="0" t="s">
        <v>32</v>
      </c>
      <c r="D39" s="17" t="n">
        <v>231800.67565156</v>
      </c>
      <c r="E39" s="17" t="n">
        <v>386649.186610632</v>
      </c>
      <c r="F39" s="17" t="n">
        <v>648903.114242599</v>
      </c>
    </row>
    <row r="40" customFormat="false" ht="15" hidden="false" customHeight="false" outlineLevel="0" collapsed="false">
      <c r="B40" s="0" t="s">
        <v>399</v>
      </c>
      <c r="D40" s="11" t="n">
        <v>0.14677675075</v>
      </c>
      <c r="E40" s="11" t="n">
        <v>0.13117675075</v>
      </c>
      <c r="F40" s="11" t="n">
        <v>0.11557675075</v>
      </c>
    </row>
    <row r="41" customFormat="false" ht="15" hidden="false" customHeight="false" outlineLevel="0" collapsed="false">
      <c r="B41" s="0" t="s">
        <v>17</v>
      </c>
      <c r="D41" s="11" t="n">
        <v>0</v>
      </c>
      <c r="E41" s="11" t="n">
        <v>0.0378</v>
      </c>
      <c r="F41" s="11" t="n">
        <v>0.0683</v>
      </c>
    </row>
    <row r="42" customFormat="false" ht="15" hidden="false" customHeight="false" outlineLevel="0" collapsed="false">
      <c r="B42" s="0" t="s">
        <v>518</v>
      </c>
      <c r="D42" s="11" t="n">
        <v>0.3484</v>
      </c>
      <c r="E42" s="11" t="n">
        <v>0.3936</v>
      </c>
      <c r="F42" s="11" t="n">
        <v>0.4542</v>
      </c>
    </row>
    <row r="43" customFormat="false" ht="15" hidden="false" customHeight="false" outlineLevel="0" collapsed="false">
      <c r="B43" s="0" t="s">
        <v>519</v>
      </c>
      <c r="D43" s="17" t="n">
        <v>218059.1355</v>
      </c>
      <c r="E43" s="17" t="n">
        <v>252946.661292807</v>
      </c>
      <c r="F43" s="17" t="n">
        <v>284018.872848175</v>
      </c>
    </row>
    <row r="44" customFormat="false" ht="15" hidden="false" customHeight="false" outlineLevel="0" collapsed="false">
      <c r="B44" s="0" t="s">
        <v>520</v>
      </c>
      <c r="D44" s="17" t="n">
        <v>40797.5333671632</v>
      </c>
      <c r="E44" s="17" t="n">
        <v>38986.1049680622</v>
      </c>
      <c r="F44" s="17" t="n">
        <v>41622.8194530891</v>
      </c>
    </row>
    <row r="45" customFormat="false" ht="15" hidden="false" customHeight="false" outlineLevel="0" collapsed="false">
      <c r="B45" s="0" t="s">
        <v>521</v>
      </c>
      <c r="D45" s="29" t="n">
        <v>0.824772669815776</v>
      </c>
      <c r="E45" s="29" t="n">
        <v>0.647559468993994</v>
      </c>
      <c r="F45" s="29" t="n">
        <v>0.479329634758266</v>
      </c>
    </row>
    <row r="48" customFormat="false" ht="15" hidden="false" customHeight="false" outlineLevel="0" collapsed="false">
      <c r="B48" s="13" t="s">
        <v>9</v>
      </c>
      <c r="C48" s="13"/>
      <c r="D48" s="13" t="s">
        <v>13</v>
      </c>
      <c r="E48" s="13" t="s">
        <v>8</v>
      </c>
      <c r="F48" s="13" t="s">
        <v>14</v>
      </c>
    </row>
    <row r="49" customFormat="false" ht="15" hidden="false" customHeight="false" outlineLevel="0" collapsed="false">
      <c r="B49" s="0" t="s">
        <v>24</v>
      </c>
      <c r="D49" s="16" t="n">
        <v>-8.040377727648</v>
      </c>
      <c r="E49" s="16" t="n">
        <v>4.41525569995403</v>
      </c>
      <c r="F49" s="16" t="n">
        <v>41.7876521138318</v>
      </c>
    </row>
    <row r="50" customFormat="false" ht="15" hidden="false" customHeight="false" outlineLevel="0" collapsed="false">
      <c r="B50" s="0" t="s">
        <v>30</v>
      </c>
      <c r="D50" s="17" t="n">
        <v>22681.2761416701</v>
      </c>
      <c r="E50" s="17" t="n">
        <v>39198.6156506493</v>
      </c>
      <c r="F50" s="17" t="n">
        <v>88757.9225634744</v>
      </c>
    </row>
    <row r="51" customFormat="false" ht="15" hidden="false" customHeight="false" outlineLevel="0" collapsed="false">
      <c r="B51" s="0" t="s">
        <v>32</v>
      </c>
      <c r="D51" s="17" t="n">
        <v>-10662.2958583299</v>
      </c>
      <c r="E51" s="17" t="n">
        <v>5855.04365064927</v>
      </c>
      <c r="F51" s="17" t="n">
        <v>55414.3505634744</v>
      </c>
    </row>
    <row r="52" customFormat="false" ht="15" hidden="false" customHeight="false" outlineLevel="0" collapsed="false">
      <c r="B52" s="0" t="s">
        <v>399</v>
      </c>
      <c r="D52" s="11" t="n">
        <v>0.11536029885</v>
      </c>
      <c r="E52" s="11" t="n">
        <v>0.09976029885</v>
      </c>
      <c r="F52" s="11" t="n">
        <v>0.08416029885</v>
      </c>
    </row>
    <row r="53" customFormat="false" ht="15" hidden="false" customHeight="false" outlineLevel="0" collapsed="false">
      <c r="B53" s="0" t="s">
        <v>17</v>
      </c>
      <c r="D53" s="11" t="n">
        <v>0</v>
      </c>
      <c r="E53" s="11" t="n">
        <v>0.0378</v>
      </c>
      <c r="F53" s="11" t="n">
        <v>0.0778</v>
      </c>
    </row>
    <row r="54" customFormat="false" ht="15" hidden="false" customHeight="false" outlineLevel="0" collapsed="false">
      <c r="B54" s="0" t="s">
        <v>518</v>
      </c>
      <c r="D54" s="11" t="n">
        <v>0.1884</v>
      </c>
      <c r="E54" s="11" t="n">
        <v>0.2002</v>
      </c>
      <c r="F54" s="11" t="n">
        <v>0.237</v>
      </c>
    </row>
    <row r="55" customFormat="false" ht="15" hidden="false" customHeight="false" outlineLevel="0" collapsed="false">
      <c r="B55" s="0" t="s">
        <v>519</v>
      </c>
      <c r="D55" s="17" t="n">
        <v>45107.0518274</v>
      </c>
      <c r="E55" s="17" t="n">
        <v>52323.779668027</v>
      </c>
      <c r="F55" s="17" t="n">
        <v>60869.1391617435</v>
      </c>
    </row>
    <row r="56" customFormat="false" ht="15" hidden="false" customHeight="false" outlineLevel="0" collapsed="false">
      <c r="B56" s="0" t="s">
        <v>520</v>
      </c>
      <c r="D56" s="17" t="n">
        <v>11626.8757892491</v>
      </c>
      <c r="E56" s="17" t="n">
        <v>11366.9708296553</v>
      </c>
      <c r="F56" s="17" t="n">
        <v>13099.8580403209</v>
      </c>
    </row>
    <row r="57" customFormat="false" ht="15" hidden="false" customHeight="false" outlineLevel="0" collapsed="false">
      <c r="B57" s="0" t="s">
        <v>521</v>
      </c>
      <c r="D57" s="29" t="n">
        <v>4.85959661759654</v>
      </c>
      <c r="E57" s="29" t="n">
        <v>3.96722679187521</v>
      </c>
      <c r="F57" s="29" t="n">
        <v>2.76062163176999</v>
      </c>
    </row>
    <row r="60" customFormat="false" ht="15" hidden="false" customHeight="false" outlineLevel="0" collapsed="false">
      <c r="B60" s="13" t="s">
        <v>10</v>
      </c>
      <c r="C60" s="13"/>
      <c r="D60" s="13" t="s">
        <v>13</v>
      </c>
      <c r="E60" s="13" t="s">
        <v>8</v>
      </c>
      <c r="F60" s="13" t="s">
        <v>14</v>
      </c>
    </row>
    <row r="61" customFormat="false" ht="15" hidden="false" customHeight="false" outlineLevel="0" collapsed="false">
      <c r="B61" s="0" t="s">
        <v>24</v>
      </c>
      <c r="D61" s="16" t="n">
        <v>11.9396986702007</v>
      </c>
      <c r="E61" s="16" t="n">
        <v>22.3229527459937</v>
      </c>
      <c r="F61" s="16" t="n">
        <v>42.8784481671766</v>
      </c>
    </row>
    <row r="62" customFormat="false" ht="15" hidden="false" customHeight="false" outlineLevel="0" collapsed="false">
      <c r="B62" s="0" t="s">
        <v>30</v>
      </c>
      <c r="D62" s="17" t="n">
        <v>28046.7677991838</v>
      </c>
      <c r="E62" s="17" t="n">
        <v>48430.9707656516</v>
      </c>
      <c r="F62" s="17" t="n">
        <v>88785.1205999066</v>
      </c>
    </row>
    <row r="63" customFormat="false" ht="15" hidden="false" customHeight="false" outlineLevel="0" collapsed="false">
      <c r="B63" s="0" t="s">
        <v>32</v>
      </c>
      <c r="D63" s="17" t="n">
        <v>23439.7847991838</v>
      </c>
      <c r="E63" s="17" t="n">
        <v>43823.9877656516</v>
      </c>
      <c r="F63" s="17" t="n">
        <v>84178.1375999066</v>
      </c>
    </row>
    <row r="64" customFormat="false" ht="15" hidden="false" customHeight="false" outlineLevel="0" collapsed="false">
      <c r="B64" s="0" t="s">
        <v>399</v>
      </c>
      <c r="D64" s="11" t="n">
        <v>0.156832395041</v>
      </c>
      <c r="E64" s="11" t="n">
        <v>0.141232395041</v>
      </c>
      <c r="F64" s="11" t="n">
        <v>0.125632395041</v>
      </c>
    </row>
    <row r="65" customFormat="false" ht="15" hidden="false" customHeight="false" outlineLevel="0" collapsed="false">
      <c r="B65" s="0" t="s">
        <v>17</v>
      </c>
      <c r="D65" s="11" t="n">
        <v>0</v>
      </c>
      <c r="E65" s="11" t="n">
        <v>0.0378</v>
      </c>
      <c r="F65" s="11" t="n">
        <v>0.061</v>
      </c>
    </row>
    <row r="66" customFormat="false" ht="15" hidden="false" customHeight="false" outlineLevel="0" collapsed="false">
      <c r="B66" s="0" t="s">
        <v>518</v>
      </c>
      <c r="D66" s="11" t="n">
        <v>0.1613</v>
      </c>
      <c r="E66" s="11" t="n">
        <v>0.1971</v>
      </c>
      <c r="F66" s="11" t="n">
        <v>0.2506</v>
      </c>
    </row>
    <row r="67" customFormat="false" ht="15" hidden="false" customHeight="false" outlineLevel="0" collapsed="false">
      <c r="B67" s="0" t="s">
        <v>519</v>
      </c>
      <c r="D67" s="17" t="n">
        <v>69544.168606</v>
      </c>
      <c r="E67" s="17" t="n">
        <v>80670.6181831659</v>
      </c>
      <c r="F67" s="17" t="n">
        <v>88129.6925714</v>
      </c>
    </row>
    <row r="68" customFormat="false" ht="15" hidden="false" customHeight="false" outlineLevel="0" collapsed="false">
      <c r="B68" s="0" t="s">
        <v>520</v>
      </c>
      <c r="D68" s="17" t="n">
        <v>12250.190935772</v>
      </c>
      <c r="E68" s="17" t="n">
        <v>13253.6069770103</v>
      </c>
      <c r="F68" s="17" t="n">
        <v>17553.2334953957</v>
      </c>
    </row>
    <row r="69" customFormat="false" ht="15" hidden="false" customHeight="false" outlineLevel="0" collapsed="false">
      <c r="B69" s="0" t="s">
        <v>521</v>
      </c>
      <c r="D69" s="29" t="n">
        <v>0.172227722212721</v>
      </c>
      <c r="E69" s="29" t="n">
        <v>0.0583983382894964</v>
      </c>
      <c r="F69" s="29" t="n">
        <v>-0.152639192091905</v>
      </c>
    </row>
    <row r="73" customFormat="false" ht="15" hidden="false" customHeight="false" outlineLevel="0" collapsed="false">
      <c r="B73" s="0" t="s">
        <v>522</v>
      </c>
      <c r="D73" s="25" t="n">
        <f aca="false">'Valor justo'!D29</f>
        <v>94.9446063076431</v>
      </c>
    </row>
    <row r="74" customFormat="false" ht="15" hidden="false" customHeight="false" outlineLevel="0" collapsed="false">
      <c r="B74" s="0" t="s">
        <v>523</v>
      </c>
      <c r="D74" s="30" t="n">
        <f aca="false">IF(COUNT(Painel!$G$10:$G$12)=0,ROUND(D73-INDEX(D25:F25,Painel!$Y$9),2),"-")</f>
        <v>0</v>
      </c>
      <c r="I74" s="2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17" min="3" style="0" width="13"/>
  </cols>
  <sheetData>
    <row r="1" customFormat="false" ht="17.35" hidden="false" customHeight="false" outlineLevel="0" collapsed="false">
      <c r="B1" s="1" t="s">
        <v>525</v>
      </c>
    </row>
    <row r="2" customFormat="false" ht="15" hidden="false" customHeight="false" outlineLevel="0" collapsed="false">
      <c r="B2" s="2" t="s">
        <v>526</v>
      </c>
    </row>
    <row r="4" customFormat="false" ht="15" hidden="false" customHeight="false" outlineLevel="0" collapsed="false">
      <c r="C4" s="4" t="s">
        <v>527</v>
      </c>
      <c r="F4" s="4" t="s">
        <v>528</v>
      </c>
    </row>
    <row r="5" customFormat="false" ht="15" hidden="false" customHeight="false" outlineLevel="0" collapsed="false">
      <c r="B5" s="8" t="s">
        <v>529</v>
      </c>
      <c r="C5" s="9" t="s">
        <v>530</v>
      </c>
      <c r="D5" s="9" t="s">
        <v>531</v>
      </c>
      <c r="E5" s="9" t="s">
        <v>532</v>
      </c>
      <c r="F5" s="9" t="s">
        <v>530</v>
      </c>
      <c r="G5" s="9" t="s">
        <v>531</v>
      </c>
      <c r="H5" s="9" t="s">
        <v>532</v>
      </c>
    </row>
    <row r="6" customFormat="false" ht="15" hidden="false" customHeight="false" outlineLevel="0" collapsed="false">
      <c r="B6" s="0" t="s">
        <v>5</v>
      </c>
      <c r="C6" s="30" t="n">
        <f aca="false">CORREL(L$23:L$90,J$23:J$90)</f>
        <v>0.695569671834779</v>
      </c>
      <c r="D6" s="30" t="n">
        <f aca="false">SLOPE(L$23:L$90,J$23:J$90)</f>
        <v>0.555646644851154</v>
      </c>
      <c r="E6" s="11" t="n">
        <f aca="false">RSQ(L$23:L$90,J$23:J$90)</f>
        <v>0.483817168376342</v>
      </c>
      <c r="F6" s="30" t="n">
        <f aca="false">CORREL(L$23:L$90,K$23:K$90)</f>
        <v>0.626695324628648</v>
      </c>
      <c r="G6" s="30" t="n">
        <f aca="false">SLOPE(L$23:L$90,K$23:K$90)</f>
        <v>0.528583337141365</v>
      </c>
      <c r="H6" s="11" t="n">
        <f aca="false">RSQ(L$23:L$90,K$23:K$90)</f>
        <v>0.392747029911407</v>
      </c>
    </row>
    <row r="7" customFormat="false" ht="15" hidden="false" customHeight="false" outlineLevel="0" collapsed="false">
      <c r="B7" s="0" t="s">
        <v>9</v>
      </c>
      <c r="C7" s="30" t="n">
        <f aca="false">CORREL(M$23:M$90,J$23:J$90)</f>
        <v>0.545652940652634</v>
      </c>
      <c r="D7" s="30" t="n">
        <f aca="false">SLOPE(M$23:M$90,J$23:J$90)</f>
        <v>0.722692690527218</v>
      </c>
      <c r="E7" s="11" t="n">
        <f aca="false">RSQ(M$23:M$90,J$23:J$90)</f>
        <v>0.297737131642867</v>
      </c>
      <c r="F7" s="30" t="n">
        <f aca="false">CORREL(M$23:M$90,K$23:K$90)</f>
        <v>0.483594179630479</v>
      </c>
      <c r="G7" s="30" t="n">
        <f aca="false">SLOPE(M$23:M$90,K$23:K$90)</f>
        <v>0.676265422472195</v>
      </c>
      <c r="H7" s="11" t="n">
        <f aca="false">RSQ(M$23:M$90,K$23:K$90)</f>
        <v>0.233863330572476</v>
      </c>
    </row>
    <row r="8" customFormat="false" ht="15" hidden="false" customHeight="false" outlineLevel="0" collapsed="false">
      <c r="B8" s="0" t="s">
        <v>10</v>
      </c>
      <c r="C8" s="30" t="n">
        <f aca="false">CORREL(N$23:N$90,J$23:J$90)</f>
        <v>0.369274990276257</v>
      </c>
      <c r="D8" s="30" t="n">
        <f aca="false">SLOPE(N$23:N$90,J$23:J$90)</f>
        <v>0.300623659948256</v>
      </c>
      <c r="E8" s="11" t="n">
        <f aca="false">RSQ(N$23:N$90,J$23:J$90)</f>
        <v>0.13636401844353</v>
      </c>
      <c r="F8" s="30" t="n">
        <f aca="false">CORREL(N$23:N$90,K$23:K$90)</f>
        <v>0.340259237280351</v>
      </c>
      <c r="G8" s="30" t="n">
        <f aca="false">SLOPE(N$23:N$90,K$23:K$90)</f>
        <v>0.292470549951059</v>
      </c>
      <c r="H8" s="11" t="n">
        <f aca="false">RSQ(N$23:N$90,K$23:K$90)</f>
        <v>0.115776348554606</v>
      </c>
    </row>
    <row r="9" customFormat="false" ht="15" hidden="false" customHeight="false" outlineLevel="0" collapsed="false">
      <c r="B9" s="4" t="str">
        <f aca="false">"Escolhida: "&amp;Painel!$D$5</f>
        <v>Escolhida: Vale (VALE3)</v>
      </c>
      <c r="C9" s="42" t="n">
        <f aca="false">INDEX(C6:C8,Painel!$Y$5)</f>
        <v>0.695569671834779</v>
      </c>
      <c r="D9" s="42" t="n">
        <f aca="false">INDEX(D6:D8,Painel!$Y$5)</f>
        <v>0.555646644851154</v>
      </c>
      <c r="E9" s="10" t="n">
        <f aca="false">INDEX(E6:E8,Painel!$Y$5)</f>
        <v>0.483817168376342</v>
      </c>
      <c r="F9" s="42" t="n">
        <f aca="false">INDEX(F6:F8,Painel!$Y$5)</f>
        <v>0.626695324628648</v>
      </c>
      <c r="G9" s="42" t="n">
        <f aca="false">INDEX(G6:G8,Painel!$Y$5)</f>
        <v>0.528583337141365</v>
      </c>
      <c r="H9" s="10" t="n">
        <f aca="false">INDEX(H6:H8,Painel!$Y$5)</f>
        <v>0.392747029911407</v>
      </c>
    </row>
    <row r="11" customFormat="false" ht="15" hidden="false" customHeight="false" outlineLevel="0" collapsed="false">
      <c r="B11" s="2" t="s">
        <v>533</v>
      </c>
    </row>
    <row r="12" customFormat="false" ht="15" hidden="false" customHeight="false" outlineLevel="0" collapsed="false">
      <c r="B12" s="2" t="s">
        <v>534</v>
      </c>
    </row>
    <row r="13" customFormat="false" ht="15" hidden="false" customHeight="false" outlineLevel="0" collapsed="false">
      <c r="B13" s="2" t="s">
        <v>535</v>
      </c>
    </row>
    <row r="14" customFormat="false" ht="15" hidden="false" customHeight="false" outlineLevel="0" collapsed="false">
      <c r="B14" s="2" t="s">
        <v>536</v>
      </c>
    </row>
    <row r="15" customFormat="false" ht="15" hidden="false" customHeight="false" outlineLevel="0" collapsed="false">
      <c r="B15" s="2" t="s">
        <v>537</v>
      </c>
    </row>
    <row r="21" customFormat="false" ht="31.5" hidden="false" customHeight="true" outlineLevel="0" collapsed="false">
      <c r="B21" s="43" t="s">
        <v>538</v>
      </c>
      <c r="C21" s="43" t="s">
        <v>539</v>
      </c>
      <c r="D21" s="43" t="s">
        <v>540</v>
      </c>
      <c r="E21" s="43" t="s">
        <v>541</v>
      </c>
      <c r="F21" s="43" t="s">
        <v>542</v>
      </c>
      <c r="G21" s="43" t="s">
        <v>543</v>
      </c>
      <c r="H21" s="43" t="s">
        <v>544</v>
      </c>
      <c r="I21" s="43" t="s">
        <v>545</v>
      </c>
      <c r="J21" s="43" t="s">
        <v>546</v>
      </c>
      <c r="K21" s="43" t="s">
        <v>547</v>
      </c>
      <c r="L21" s="43" t="s">
        <v>548</v>
      </c>
      <c r="M21" s="43" t="s">
        <v>549</v>
      </c>
      <c r="N21" s="43" t="s">
        <v>550</v>
      </c>
      <c r="O21" s="43" t="s">
        <v>551</v>
      </c>
      <c r="P21" s="43" t="s">
        <v>552</v>
      </c>
      <c r="Q21" s="43" t="s">
        <v>553</v>
      </c>
    </row>
    <row r="22" customFormat="false" ht="15" hidden="false" customHeight="false" outlineLevel="0" collapsed="false">
      <c r="B22" s="0" t="s">
        <v>554</v>
      </c>
      <c r="C22" s="44" t="n">
        <v>169.6</v>
      </c>
      <c r="D22" s="30" t="n">
        <v>5.3562</v>
      </c>
      <c r="E22" s="44" t="n">
        <f aca="false">C22*D22</f>
        <v>908.41152</v>
      </c>
      <c r="F22" s="30" t="n">
        <v>94.7552631578947</v>
      </c>
      <c r="G22" s="30" t="n">
        <v>34.9294736842105</v>
      </c>
      <c r="H22" s="30" t="n">
        <v>21.8600877192983</v>
      </c>
      <c r="I22" s="30" t="n">
        <f aca="false">CHOOSE(Painel!$Y$5,F22,G22,H22)</f>
        <v>94.7552631578947</v>
      </c>
      <c r="P22" s="44" t="n">
        <f aca="false">C22/C$22*100</f>
        <v>100</v>
      </c>
      <c r="Q22" s="44" t="n">
        <f aca="false">I22/I$22*100</f>
        <v>100</v>
      </c>
    </row>
    <row r="23" customFormat="false" ht="15" hidden="false" customHeight="false" outlineLevel="0" collapsed="false">
      <c r="B23" s="0" t="s">
        <v>555</v>
      </c>
      <c r="C23" s="44" t="n">
        <v>163.8</v>
      </c>
      <c r="D23" s="30" t="n">
        <v>5.4165</v>
      </c>
      <c r="E23" s="44" t="n">
        <f aca="false">C23*D23</f>
        <v>887.2227</v>
      </c>
      <c r="F23" s="30" t="n">
        <v>94.0705555555556</v>
      </c>
      <c r="G23" s="30" t="n">
        <v>33.7522222222222</v>
      </c>
      <c r="H23" s="30" t="n">
        <v>20.3916666666667</v>
      </c>
      <c r="I23" s="30" t="n">
        <f aca="false">CHOOSE(Painel!$Y$5,F23,G23,H23)</f>
        <v>94.0705555555556</v>
      </c>
      <c r="J23" s="11" t="n">
        <f aca="false">C23/C22-1</f>
        <v>-0.0341981132075471</v>
      </c>
      <c r="K23" s="11" t="n">
        <f aca="false">E23/E22-1</f>
        <v>-0.0233251335253872</v>
      </c>
      <c r="L23" s="11" t="n">
        <f aca="false">F23/F22-1</f>
        <v>-0.00722606406778925</v>
      </c>
      <c r="M23" s="11" t="n">
        <f aca="false">G23/G22-1</f>
        <v>-0.0337036702193561</v>
      </c>
      <c r="N23" s="11" t="n">
        <f aca="false">H23/H22-1</f>
        <v>-0.0671736120864349</v>
      </c>
      <c r="O23" s="11" t="n">
        <f aca="false">I23/I22-1</f>
        <v>-0.00722606406778925</v>
      </c>
      <c r="P23" s="44" t="n">
        <f aca="false">C23/C$22*100</f>
        <v>96.5801886792453</v>
      </c>
      <c r="Q23" s="44" t="n">
        <f aca="false">I23/I$22*100</f>
        <v>99.2773935932211</v>
      </c>
    </row>
    <row r="24" customFormat="false" ht="15" hidden="false" customHeight="false" outlineLevel="0" collapsed="false">
      <c r="B24" s="0" t="s">
        <v>556</v>
      </c>
      <c r="C24" s="44" t="n">
        <v>168.2</v>
      </c>
      <c r="D24" s="30" t="n">
        <v>5.6461</v>
      </c>
      <c r="E24" s="44" t="n">
        <f aca="false">C24*D24</f>
        <v>949.67402</v>
      </c>
      <c r="F24" s="30" t="n">
        <v>97.0765217391304</v>
      </c>
      <c r="G24" s="30" t="n">
        <v>35.7317391304348</v>
      </c>
      <c r="H24" s="30" t="n">
        <v>23.2286231884058</v>
      </c>
      <c r="I24" s="30" t="n">
        <f aca="false">CHOOSE(Painel!$Y$5,F24,G24,H24)</f>
        <v>97.0765217391304</v>
      </c>
      <c r="J24" s="11" t="n">
        <f aca="false">C24/C23-1</f>
        <v>0.0268620268620268</v>
      </c>
      <c r="K24" s="11" t="n">
        <f aca="false">E24/E23-1</f>
        <v>0.0703896778114446</v>
      </c>
      <c r="L24" s="11" t="n">
        <f aca="false">F24/F23-1</f>
        <v>0.0319543789852463</v>
      </c>
      <c r="M24" s="11" t="n">
        <f aca="false">G24/G23-1</f>
        <v>0.058648491206877</v>
      </c>
      <c r="N24" s="11" t="n">
        <f aca="false">H24/H23-1</f>
        <v>0.139123327588351</v>
      </c>
      <c r="O24" s="11" t="n">
        <f aca="false">I24/I23-1</f>
        <v>0.0319543789852463</v>
      </c>
      <c r="P24" s="44" t="n">
        <f aca="false">C24/C$22*100</f>
        <v>99.1745283018868</v>
      </c>
      <c r="Q24" s="44" t="n">
        <f aca="false">I24/I$22*100</f>
        <v>102.449741052766</v>
      </c>
    </row>
    <row r="25" customFormat="false" ht="15" hidden="false" customHeight="false" outlineLevel="0" collapsed="false">
      <c r="B25" s="0" t="s">
        <v>557</v>
      </c>
      <c r="C25" s="44" t="n">
        <v>179.8</v>
      </c>
      <c r="D25" s="30" t="n">
        <v>5.5621</v>
      </c>
      <c r="E25" s="44" t="n">
        <f aca="false">C25*D25</f>
        <v>1000.06558</v>
      </c>
      <c r="F25" s="30" t="n">
        <v>106.272</v>
      </c>
      <c r="G25" s="30" t="n">
        <v>45.676</v>
      </c>
      <c r="H25" s="30" t="n">
        <v>26.87125</v>
      </c>
      <c r="I25" s="30" t="n">
        <f aca="false">CHOOSE(Painel!$Y$5,F25,G25,H25)</f>
        <v>106.272</v>
      </c>
      <c r="J25" s="11" t="n">
        <f aca="false">C25/C24-1</f>
        <v>0.0689655172413795</v>
      </c>
      <c r="K25" s="11" t="n">
        <f aca="false">E25/E24-1</f>
        <v>0.0530619548800546</v>
      </c>
      <c r="L25" s="11" t="n">
        <f aca="false">F25/F24-1</f>
        <v>0.0947240187033089</v>
      </c>
      <c r="M25" s="11" t="n">
        <f aca="false">G25/G24-1</f>
        <v>0.278303298735748</v>
      </c>
      <c r="N25" s="11" t="n">
        <f aca="false">H25/H24-1</f>
        <v>0.156816302974528</v>
      </c>
      <c r="O25" s="11" t="n">
        <f aca="false">I25/I24-1</f>
        <v>0.0947240187033089</v>
      </c>
      <c r="P25" s="44" t="n">
        <f aca="false">C25/C$22*100</f>
        <v>106.014150943396</v>
      </c>
      <c r="Q25" s="44" t="n">
        <f aca="false">I25/I$22*100</f>
        <v>112.154192240398</v>
      </c>
    </row>
    <row r="26" customFormat="false" ht="15" hidden="false" customHeight="false" outlineLevel="0" collapsed="false">
      <c r="B26" s="0" t="s">
        <v>558</v>
      </c>
      <c r="C26" s="44" t="n">
        <v>207.7</v>
      </c>
      <c r="D26" s="30" t="n">
        <v>5.2911</v>
      </c>
      <c r="E26" s="44" t="n">
        <f aca="false">C26*D26</f>
        <v>1098.96147</v>
      </c>
      <c r="F26" s="30" t="n">
        <v>112.179523809524</v>
      </c>
      <c r="G26" s="30" t="n">
        <v>47.63</v>
      </c>
      <c r="H26" s="30" t="n">
        <v>28.7345238095238</v>
      </c>
      <c r="I26" s="30" t="n">
        <f aca="false">CHOOSE(Painel!$Y$5,F26,G26,H26)</f>
        <v>112.179523809524</v>
      </c>
      <c r="J26" s="11" t="n">
        <f aca="false">C26/C25-1</f>
        <v>0.155172413793103</v>
      </c>
      <c r="K26" s="11" t="n">
        <f aca="false">E26/E25-1</f>
        <v>0.098889404832831</v>
      </c>
      <c r="L26" s="11" t="n">
        <f aca="false">F26/F25-1</f>
        <v>0.0555887139559226</v>
      </c>
      <c r="M26" s="11" t="n">
        <f aca="false">G26/G25-1</f>
        <v>0.0427795778964883</v>
      </c>
      <c r="N26" s="11" t="n">
        <f aca="false">H26/H25-1</f>
        <v>0.0693407939535307</v>
      </c>
      <c r="O26" s="11" t="n">
        <f aca="false">I26/I25-1</f>
        <v>0.0555887139559226</v>
      </c>
      <c r="P26" s="44" t="n">
        <f aca="false">C26/C$22*100</f>
        <v>122.464622641509</v>
      </c>
      <c r="Q26" s="44" t="n">
        <f aca="false">I26/I$22*100</f>
        <v>118.388699551807</v>
      </c>
    </row>
    <row r="27" customFormat="false" ht="15" hidden="false" customHeight="false" outlineLevel="0" collapsed="false">
      <c r="B27" s="0" t="s">
        <v>559</v>
      </c>
      <c r="C27" s="44" t="n">
        <v>214.4</v>
      </c>
      <c r="D27" s="30" t="n">
        <v>5.0319</v>
      </c>
      <c r="E27" s="44" t="n">
        <f aca="false">C27*D27</f>
        <v>1078.83936</v>
      </c>
      <c r="F27" s="30" t="n">
        <v>111.605714285714</v>
      </c>
      <c r="G27" s="30" t="n">
        <v>44</v>
      </c>
      <c r="H27" s="30" t="n">
        <v>25.952380952381</v>
      </c>
      <c r="I27" s="30" t="n">
        <f aca="false">CHOOSE(Painel!$Y$5,F27,G27,H27)</f>
        <v>111.605714285714</v>
      </c>
      <c r="J27" s="11" t="n">
        <f aca="false">C27/C26-1</f>
        <v>0.0322580645161292</v>
      </c>
      <c r="K27" s="11" t="n">
        <f aca="false">E27/E26-1</f>
        <v>-0.0183101141844397</v>
      </c>
      <c r="L27" s="11" t="n">
        <f aca="false">F27/F26-1</f>
        <v>-0.00511510037057927</v>
      </c>
      <c r="M27" s="11" t="n">
        <f aca="false">G27/G26-1</f>
        <v>-0.0762124711316398</v>
      </c>
      <c r="N27" s="11" t="n">
        <f aca="false">H27/H26-1</f>
        <v>-0.0968223060032317</v>
      </c>
      <c r="O27" s="11" t="n">
        <f aca="false">I27/I26-1</f>
        <v>-0.00511510037057927</v>
      </c>
      <c r="P27" s="44" t="n">
        <f aca="false">C27/C$22*100</f>
        <v>126.415094339623</v>
      </c>
      <c r="Q27" s="44" t="n">
        <f aca="false">I27/I$22*100</f>
        <v>117.783129470857</v>
      </c>
    </row>
    <row r="28" customFormat="false" ht="15" hidden="false" customHeight="false" outlineLevel="0" collapsed="false">
      <c r="B28" s="0" t="s">
        <v>560</v>
      </c>
      <c r="C28" s="44" t="n">
        <v>214.1</v>
      </c>
      <c r="D28" s="30" t="n">
        <v>5.1567</v>
      </c>
      <c r="E28" s="44" t="n">
        <f aca="false">C28*D28</f>
        <v>1104.04947</v>
      </c>
      <c r="F28" s="30" t="n">
        <v>114.060476190476</v>
      </c>
      <c r="G28" s="30" t="n">
        <v>45.7104761904762</v>
      </c>
      <c r="H28" s="30" t="n">
        <v>25.1444444444444</v>
      </c>
      <c r="I28" s="30" t="n">
        <f aca="false">CHOOSE(Painel!$Y$5,F28,G28,H28)</f>
        <v>114.060476190476</v>
      </c>
      <c r="J28" s="11" t="n">
        <f aca="false">C28/C27-1</f>
        <v>-0.00139925373134331</v>
      </c>
      <c r="K28" s="11" t="n">
        <f aca="false">E28/E27-1</f>
        <v>0.0233678070477514</v>
      </c>
      <c r="L28" s="11" t="n">
        <f aca="false">F28/F27-1</f>
        <v>0.0219949482020037</v>
      </c>
      <c r="M28" s="11" t="n">
        <f aca="false">G28/G27-1</f>
        <v>0.038874458874459</v>
      </c>
      <c r="N28" s="11" t="n">
        <f aca="false">H28/H27-1</f>
        <v>-0.0311314984709481</v>
      </c>
      <c r="O28" s="11" t="n">
        <f aca="false">I28/I27-1</f>
        <v>0.0219949482020037</v>
      </c>
      <c r="P28" s="44" t="n">
        <f aca="false">C28/C$22*100</f>
        <v>126.23820754717</v>
      </c>
      <c r="Q28" s="44" t="n">
        <f aca="false">I28/I$22*100</f>
        <v>120.373763302638</v>
      </c>
    </row>
    <row r="29" customFormat="false" ht="15" hidden="false" customHeight="false" outlineLevel="0" collapsed="false">
      <c r="B29" s="0" t="s">
        <v>561</v>
      </c>
      <c r="C29" s="44" t="n">
        <v>162.2</v>
      </c>
      <c r="D29" s="30" t="n">
        <v>5.2517</v>
      </c>
      <c r="E29" s="44" t="n">
        <f aca="false">C29*D29</f>
        <v>851.82574</v>
      </c>
      <c r="F29" s="30" t="n">
        <v>104.82</v>
      </c>
      <c r="G29" s="30" t="n">
        <v>40.5936363636364</v>
      </c>
      <c r="H29" s="30" t="n">
        <v>24.8958333333333</v>
      </c>
      <c r="I29" s="30" t="n">
        <f aca="false">CHOOSE(Painel!$Y$5,F29,G29,H29)</f>
        <v>104.82</v>
      </c>
      <c r="J29" s="11" t="n">
        <f aca="false">C29/C28-1</f>
        <v>-0.242410088743578</v>
      </c>
      <c r="K29" s="11" t="n">
        <f aca="false">E29/E28-1</f>
        <v>-0.228453286608616</v>
      </c>
      <c r="L29" s="11" t="n">
        <f aca="false">F29/F28-1</f>
        <v>-0.0810138314261024</v>
      </c>
      <c r="M29" s="11" t="n">
        <f aca="false">G29/G28-1</f>
        <v>-0.111940199562085</v>
      </c>
      <c r="N29" s="11" t="n">
        <f aca="false">H29/H28-1</f>
        <v>-0.00988731771984042</v>
      </c>
      <c r="O29" s="11" t="n">
        <f aca="false">I29/I28-1</f>
        <v>-0.0810138314261024</v>
      </c>
      <c r="P29" s="44" t="n">
        <f aca="false">C29/C$22*100</f>
        <v>95.6367924528302</v>
      </c>
      <c r="Q29" s="44" t="n">
        <f aca="false">I29/I$22*100</f>
        <v>110.621823534313</v>
      </c>
    </row>
    <row r="30" customFormat="false" ht="15" hidden="false" customHeight="false" outlineLevel="0" collapsed="false">
      <c r="B30" s="0" t="s">
        <v>562</v>
      </c>
      <c r="C30" s="44" t="n">
        <v>124.5</v>
      </c>
      <c r="D30" s="30" t="n">
        <v>5.2797</v>
      </c>
      <c r="E30" s="44" t="n">
        <f aca="false">C30*D30</f>
        <v>657.32265</v>
      </c>
      <c r="F30" s="30" t="n">
        <v>88.0528571428572</v>
      </c>
      <c r="G30" s="30" t="n">
        <v>31.4619047619048</v>
      </c>
      <c r="H30" s="30" t="n">
        <v>22.1805555555556</v>
      </c>
      <c r="I30" s="30" t="n">
        <f aca="false">CHOOSE(Painel!$Y$5,F30,G30,H30)</f>
        <v>88.0528571428572</v>
      </c>
      <c r="J30" s="11" t="n">
        <f aca="false">C30/C29-1</f>
        <v>-0.232429099876695</v>
      </c>
      <c r="K30" s="11" t="n">
        <f aca="false">E30/E29-1</f>
        <v>-0.228336713563035</v>
      </c>
      <c r="L30" s="11" t="n">
        <f aca="false">F30/F29-1</f>
        <v>-0.159961294191403</v>
      </c>
      <c r="M30" s="11" t="n">
        <f aca="false">G30/G29-1</f>
        <v>-0.224954756945888</v>
      </c>
      <c r="N30" s="11" t="n">
        <f aca="false">H30/H29-1</f>
        <v>-0.109065550906555</v>
      </c>
      <c r="O30" s="11" t="n">
        <f aca="false">I30/I29-1</f>
        <v>-0.159961294191403</v>
      </c>
      <c r="P30" s="44" t="n">
        <f aca="false">C30/C$22*100</f>
        <v>73.4080188679245</v>
      </c>
      <c r="Q30" s="44" t="n">
        <f aca="false">I30/I$22*100</f>
        <v>92.9266134759511</v>
      </c>
    </row>
    <row r="31" customFormat="false" ht="15" hidden="false" customHeight="false" outlineLevel="0" collapsed="false">
      <c r="B31" s="0" t="s">
        <v>563</v>
      </c>
      <c r="C31" s="44" t="n">
        <v>122.9</v>
      </c>
      <c r="D31" s="30" t="n">
        <v>5.54</v>
      </c>
      <c r="E31" s="44" t="n">
        <f aca="false">C31*D31</f>
        <v>680.866</v>
      </c>
      <c r="F31" s="30" t="n">
        <v>77.156</v>
      </c>
      <c r="G31" s="30" t="n">
        <v>26.4185</v>
      </c>
      <c r="H31" s="30" t="n">
        <v>22.825</v>
      </c>
      <c r="I31" s="30" t="n">
        <f aca="false">CHOOSE(Painel!$Y$5,F31,G31,H31)</f>
        <v>77.156</v>
      </c>
      <c r="J31" s="11" t="n">
        <f aca="false">C31/C30-1</f>
        <v>-0.0128514056224899</v>
      </c>
      <c r="K31" s="11" t="n">
        <f aca="false">E31/E30-1</f>
        <v>0.0358170374929268</v>
      </c>
      <c r="L31" s="11" t="n">
        <f aca="false">F31/F30-1</f>
        <v>-0.12375358956471</v>
      </c>
      <c r="M31" s="11" t="n">
        <f aca="false">G31/G30-1</f>
        <v>-0.160301952474648</v>
      </c>
      <c r="N31" s="11" t="n">
        <f aca="false">H31/H30-1</f>
        <v>0.0290544771446459</v>
      </c>
      <c r="O31" s="11" t="n">
        <f aca="false">I31/I30-1</f>
        <v>-0.12375358956471</v>
      </c>
      <c r="P31" s="44" t="n">
        <f aca="false">C31/C$22*100</f>
        <v>72.4646226415094</v>
      </c>
      <c r="Q31" s="44" t="n">
        <f aca="false">I31/I$22*100</f>
        <v>81.4266114922099</v>
      </c>
    </row>
    <row r="32" customFormat="false" ht="15" hidden="false" customHeight="false" outlineLevel="0" collapsed="false">
      <c r="B32" s="0" t="s">
        <v>564</v>
      </c>
      <c r="C32" s="44" t="n">
        <v>96.2</v>
      </c>
      <c r="D32" s="30" t="n">
        <v>5.5569</v>
      </c>
      <c r="E32" s="44" t="n">
        <f aca="false">C32*D32</f>
        <v>534.57378</v>
      </c>
      <c r="F32" s="30" t="n">
        <v>67.4545</v>
      </c>
      <c r="G32" s="30" t="n">
        <v>21.8845</v>
      </c>
      <c r="H32" s="30" t="n">
        <v>21.0170833333333</v>
      </c>
      <c r="I32" s="30" t="n">
        <f aca="false">CHOOSE(Painel!$Y$5,F32,G32,H32)</f>
        <v>67.4545</v>
      </c>
      <c r="J32" s="11" t="n">
        <f aca="false">C32/C31-1</f>
        <v>-0.217249796582587</v>
      </c>
      <c r="K32" s="11" t="n">
        <f aca="false">E32/E31-1</f>
        <v>-0.214861984590213</v>
      </c>
      <c r="L32" s="11" t="n">
        <f aca="false">F32/F31-1</f>
        <v>-0.125738763025559</v>
      </c>
      <c r="M32" s="11" t="n">
        <f aca="false">G32/G31-1</f>
        <v>-0.171622158714537</v>
      </c>
      <c r="N32" s="11" t="n">
        <f aca="false">H32/H31-1</f>
        <v>-0.0792077400511133</v>
      </c>
      <c r="O32" s="11" t="n">
        <f aca="false">I32/I31-1</f>
        <v>-0.125738763025559</v>
      </c>
      <c r="P32" s="44" t="n">
        <f aca="false">C32/C$22*100</f>
        <v>56.7216981132076</v>
      </c>
      <c r="Q32" s="44" t="n">
        <f aca="false">I32/I$22*100</f>
        <v>71.1881300858167</v>
      </c>
    </row>
    <row r="33" customFormat="false" ht="15" hidden="false" customHeight="false" outlineLevel="0" collapsed="false">
      <c r="B33" s="0" t="s">
        <v>565</v>
      </c>
      <c r="C33" s="44" t="n">
        <v>117</v>
      </c>
      <c r="D33" s="30" t="n">
        <v>5.6514</v>
      </c>
      <c r="E33" s="44" t="n">
        <f aca="false">C33*D33</f>
        <v>661.2138</v>
      </c>
      <c r="F33" s="30" t="n">
        <v>76.9361904761905</v>
      </c>
      <c r="G33" s="30" t="n">
        <v>24.4071428571429</v>
      </c>
      <c r="H33" s="30" t="n">
        <v>23.4730158730159</v>
      </c>
      <c r="I33" s="30" t="n">
        <f aca="false">CHOOSE(Painel!$Y$5,F33,G33,H33)</f>
        <v>76.9361904761905</v>
      </c>
      <c r="J33" s="11" t="n">
        <f aca="false">C33/C32-1</f>
        <v>0.216216216216216</v>
      </c>
      <c r="K33" s="11" t="n">
        <f aca="false">E33/E32-1</f>
        <v>0.236899048808567</v>
      </c>
      <c r="L33" s="11" t="n">
        <f aca="false">F33/F32-1</f>
        <v>0.140564239245573</v>
      </c>
      <c r="M33" s="11" t="n">
        <f aca="false">G33/G32-1</f>
        <v>0.115270755883975</v>
      </c>
      <c r="N33" s="11" t="n">
        <f aca="false">H33/H32-1</f>
        <v>0.116854108666325</v>
      </c>
      <c r="O33" s="11" t="n">
        <f aca="false">I33/I32-1</f>
        <v>0.140564239245573</v>
      </c>
      <c r="P33" s="44" t="n">
        <f aca="false">C33/C$22*100</f>
        <v>68.9858490566038</v>
      </c>
      <c r="Q33" s="44" t="n">
        <f aca="false">I33/I$22*100</f>
        <v>81.1946354346443</v>
      </c>
    </row>
    <row r="34" customFormat="false" ht="15" hidden="false" customHeight="false" outlineLevel="0" collapsed="false">
      <c r="B34" s="0" t="s">
        <v>566</v>
      </c>
      <c r="C34" s="44" t="n">
        <v>132.5</v>
      </c>
      <c r="D34" s="30" t="n">
        <v>5.5341</v>
      </c>
      <c r="E34" s="44" t="n">
        <f aca="false">C34*D34</f>
        <v>733.26825</v>
      </c>
      <c r="F34" s="30" t="n">
        <v>83.327619047619</v>
      </c>
      <c r="G34" s="30" t="n">
        <v>25.3119047619048</v>
      </c>
      <c r="H34" s="30" t="n">
        <v>23.2623015873016</v>
      </c>
      <c r="I34" s="30" t="n">
        <f aca="false">CHOOSE(Painel!$Y$5,F34,G34,H34)</f>
        <v>83.327619047619</v>
      </c>
      <c r="J34" s="11" t="n">
        <f aca="false">C34/C33-1</f>
        <v>0.132478632478632</v>
      </c>
      <c r="K34" s="11" t="n">
        <f aca="false">E34/E33-1</f>
        <v>0.108972997841243</v>
      </c>
      <c r="L34" s="11" t="n">
        <f aca="false">F34/F33-1</f>
        <v>0.0830744092197615</v>
      </c>
      <c r="M34" s="11" t="n">
        <f aca="false">G34/G33-1</f>
        <v>0.0370695541898354</v>
      </c>
      <c r="N34" s="11" t="n">
        <f aca="false">H34/H33-1</f>
        <v>-0.00897687314038398</v>
      </c>
      <c r="O34" s="11" t="n">
        <f aca="false">I34/I33-1</f>
        <v>0.0830744092197615</v>
      </c>
      <c r="P34" s="44" t="n">
        <f aca="false">C34/C$22*100</f>
        <v>78.125</v>
      </c>
      <c r="Q34" s="44" t="n">
        <f aca="false">I34/I$22*100</f>
        <v>87.9398318051913</v>
      </c>
    </row>
    <row r="35" customFormat="false" ht="15" hidden="false" customHeight="false" outlineLevel="0" collapsed="false">
      <c r="B35" s="0" t="s">
        <v>567</v>
      </c>
      <c r="C35" s="44" t="n">
        <v>142.8</v>
      </c>
      <c r="D35" s="30" t="n">
        <v>5.1966</v>
      </c>
      <c r="E35" s="44" t="n">
        <f aca="false">C35*D35</f>
        <v>742.07448</v>
      </c>
      <c r="F35" s="30" t="n">
        <v>88.6621052631579</v>
      </c>
      <c r="G35" s="30" t="n">
        <v>26.2442105263158</v>
      </c>
      <c r="H35" s="30" t="n">
        <v>22.7447368421053</v>
      </c>
      <c r="I35" s="30" t="n">
        <f aca="false">CHOOSE(Painel!$Y$5,F35,G35,H35)</f>
        <v>88.6621052631579</v>
      </c>
      <c r="J35" s="11" t="n">
        <f aca="false">C35/C34-1</f>
        <v>0.0777358490566038</v>
      </c>
      <c r="K35" s="11" t="n">
        <f aca="false">E35/E34-1</f>
        <v>0.0120095613031113</v>
      </c>
      <c r="L35" s="11" t="n">
        <f aca="false">F35/F34-1</f>
        <v>0.0640182244075687</v>
      </c>
      <c r="M35" s="11" t="n">
        <f aca="false">G35/G34-1</f>
        <v>0.0368326988103314</v>
      </c>
      <c r="N35" s="11" t="n">
        <f aca="false">H35/H34-1</f>
        <v>-0.0222490772572069</v>
      </c>
      <c r="O35" s="11" t="n">
        <f aca="false">I35/I34-1</f>
        <v>0.0640182244075687</v>
      </c>
      <c r="P35" s="44" t="n">
        <f aca="false">C35/C$22*100</f>
        <v>84.1981132075472</v>
      </c>
      <c r="Q35" s="44" t="n">
        <f aca="false">I35/I$22*100</f>
        <v>93.5695836920599</v>
      </c>
    </row>
    <row r="36" customFormat="false" ht="15" hidden="false" customHeight="false" outlineLevel="0" collapsed="false">
      <c r="B36" s="0" t="s">
        <v>568</v>
      </c>
      <c r="C36" s="44" t="n">
        <v>152.1</v>
      </c>
      <c r="D36" s="30" t="n">
        <v>4.9684</v>
      </c>
      <c r="E36" s="44" t="n">
        <f aca="false">C36*D36</f>
        <v>755.69364</v>
      </c>
      <c r="F36" s="30" t="n">
        <v>96.4768181818182</v>
      </c>
      <c r="G36" s="30" t="n">
        <v>26.4736363636364</v>
      </c>
      <c r="H36" s="30" t="n">
        <v>24.6018939393939</v>
      </c>
      <c r="I36" s="30" t="n">
        <f aca="false">CHOOSE(Painel!$Y$5,F36,G36,H36)</f>
        <v>96.4768181818182</v>
      </c>
      <c r="J36" s="11" t="n">
        <f aca="false">C36/C35-1</f>
        <v>0.0651260504201678</v>
      </c>
      <c r="K36" s="11" t="n">
        <f aca="false">E36/E35-1</f>
        <v>0.0183528208650967</v>
      </c>
      <c r="L36" s="11" t="n">
        <f aca="false">F36/F35-1</f>
        <v>0.0881403943146335</v>
      </c>
      <c r="M36" s="11" t="n">
        <f aca="false">G36/G35-1</f>
        <v>0.00874195994924354</v>
      </c>
      <c r="N36" s="11" t="n">
        <f aca="false">H36/H35-1</f>
        <v>0.081652169035022</v>
      </c>
      <c r="O36" s="11" t="n">
        <f aca="false">I36/I35-1</f>
        <v>0.0881403943146335</v>
      </c>
      <c r="P36" s="44" t="n">
        <f aca="false">C36/C$22*100</f>
        <v>89.6816037735849</v>
      </c>
      <c r="Q36" s="44" t="n">
        <f aca="false">I36/I$22*100</f>
        <v>101.816843694534</v>
      </c>
    </row>
    <row r="37" customFormat="false" ht="15" hidden="false" customHeight="false" outlineLevel="0" collapsed="false">
      <c r="B37" s="0" t="s">
        <v>569</v>
      </c>
      <c r="C37" s="44" t="n">
        <v>151.3</v>
      </c>
      <c r="D37" s="30" t="n">
        <v>4.758</v>
      </c>
      <c r="E37" s="44" t="n">
        <f aca="false">C37*D37</f>
        <v>719.8854</v>
      </c>
      <c r="F37" s="30" t="n">
        <v>89.6073684210526</v>
      </c>
      <c r="G37" s="30" t="n">
        <v>24.0915789473684</v>
      </c>
      <c r="H37" s="30" t="n">
        <v>24.2951754385965</v>
      </c>
      <c r="I37" s="30" t="n">
        <f aca="false">CHOOSE(Painel!$Y$5,F37,G37,H37)</f>
        <v>89.6073684210526</v>
      </c>
      <c r="J37" s="11" t="n">
        <f aca="false">C37/C36-1</f>
        <v>-0.00525969756738975</v>
      </c>
      <c r="K37" s="11" t="n">
        <f aca="false">E37/E36-1</f>
        <v>-0.0473845988699865</v>
      </c>
      <c r="L37" s="11" t="n">
        <f aca="false">F37/F36-1</f>
        <v>-0.0712031127293142</v>
      </c>
      <c r="M37" s="11" t="n">
        <f aca="false">G37/G36-1</f>
        <v>-0.0899784745680002</v>
      </c>
      <c r="N37" s="11" t="n">
        <f aca="false">H37/H36-1</f>
        <v>-0.012467271891873</v>
      </c>
      <c r="O37" s="11" t="n">
        <f aca="false">I37/I36-1</f>
        <v>-0.0712031127293142</v>
      </c>
      <c r="P37" s="44" t="n">
        <f aca="false">C37/C$22*100</f>
        <v>89.2099056603774</v>
      </c>
      <c r="Q37" s="44" t="n">
        <f aca="false">I37/I$22*100</f>
        <v>94.5671674952093</v>
      </c>
    </row>
    <row r="38" customFormat="false" ht="15" hidden="false" customHeight="false" outlineLevel="0" collapsed="false">
      <c r="B38" s="0" t="s">
        <v>570</v>
      </c>
      <c r="C38" s="44" t="n">
        <v>131.2</v>
      </c>
      <c r="D38" s="30" t="n">
        <v>4.9551</v>
      </c>
      <c r="E38" s="44" t="n">
        <f aca="false">C38*D38</f>
        <v>650.10912</v>
      </c>
      <c r="F38" s="30" t="n">
        <v>81.2122727272727</v>
      </c>
      <c r="G38" s="30" t="n">
        <v>19.8659090909091</v>
      </c>
      <c r="H38" s="30" t="n">
        <v>23.325</v>
      </c>
      <c r="I38" s="30" t="n">
        <f aca="false">CHOOSE(Painel!$Y$5,F38,G38,H38)</f>
        <v>81.2122727272727</v>
      </c>
      <c r="J38" s="11" t="n">
        <f aca="false">C38/C37-1</f>
        <v>-0.132848645076008</v>
      </c>
      <c r="K38" s="11" t="n">
        <f aca="false">E38/E37-1</f>
        <v>-0.0969269275359662</v>
      </c>
      <c r="L38" s="11" t="n">
        <f aca="false">F38/F37-1</f>
        <v>-0.0936875598704394</v>
      </c>
      <c r="M38" s="11" t="n">
        <f aca="false">G38/G37-1</f>
        <v>-0.175400286784479</v>
      </c>
      <c r="N38" s="11" t="n">
        <f aca="false">H38/H37-1</f>
        <v>-0.0399328435000813</v>
      </c>
      <c r="O38" s="11" t="n">
        <f aca="false">I38/I37-1</f>
        <v>-0.0936875598704394</v>
      </c>
      <c r="P38" s="44" t="n">
        <f aca="false">C38/C$22*100</f>
        <v>77.3584905660377</v>
      </c>
      <c r="Q38" s="44" t="n">
        <f aca="false">I38/I$22*100</f>
        <v>85.707400328724</v>
      </c>
    </row>
    <row r="39" customFormat="false" ht="15" hidden="false" customHeight="false" outlineLevel="0" collapsed="false">
      <c r="B39" s="0" t="s">
        <v>571</v>
      </c>
      <c r="C39" s="44" t="n">
        <v>130.7</v>
      </c>
      <c r="D39" s="30" t="n">
        <v>5.0492</v>
      </c>
      <c r="E39" s="44" t="n">
        <f aca="false">C39*D39</f>
        <v>659.93044</v>
      </c>
      <c r="F39" s="30" t="n">
        <v>81.522380952381</v>
      </c>
      <c r="G39" s="30" t="n">
        <v>18.6457142857143</v>
      </c>
      <c r="H39" s="30" t="n">
        <v>21.5186507936508</v>
      </c>
      <c r="I39" s="30" t="n">
        <f aca="false">CHOOSE(Painel!$Y$5,F39,G39,H39)</f>
        <v>81.522380952381</v>
      </c>
      <c r="J39" s="11" t="n">
        <f aca="false">C39/C38-1</f>
        <v>-0.00381097560975607</v>
      </c>
      <c r="K39" s="11" t="n">
        <f aca="false">E39/E38-1</f>
        <v>0.015107186928865</v>
      </c>
      <c r="L39" s="11" t="n">
        <f aca="false">F39/F38-1</f>
        <v>0.00381848967765785</v>
      </c>
      <c r="M39" s="11" t="n">
        <f aca="false">G39/G38-1</f>
        <v>-0.0614215437919821</v>
      </c>
      <c r="N39" s="11" t="n">
        <f aca="false">H39/H38-1</f>
        <v>-0.077442624066418</v>
      </c>
      <c r="O39" s="11" t="n">
        <f aca="false">I39/I38-1</f>
        <v>0.00381848967765785</v>
      </c>
      <c r="P39" s="44" t="n">
        <f aca="false">C39/C$22*100</f>
        <v>77.063679245283</v>
      </c>
      <c r="Q39" s="44" t="n">
        <f aca="false">I39/I$22*100</f>
        <v>86.0346731521781</v>
      </c>
    </row>
    <row r="40" customFormat="false" ht="15" hidden="false" customHeight="false" outlineLevel="0" collapsed="false">
      <c r="B40" s="0" t="s">
        <v>572</v>
      </c>
      <c r="C40" s="44" t="n">
        <v>108.6</v>
      </c>
      <c r="D40" s="30" t="n">
        <v>5.3681</v>
      </c>
      <c r="E40" s="44" t="n">
        <f aca="false">C40*D40</f>
        <v>582.97566</v>
      </c>
      <c r="F40" s="30" t="n">
        <v>71.4876190476191</v>
      </c>
      <c r="G40" s="30" t="n">
        <v>14.5209523809524</v>
      </c>
      <c r="H40" s="30" t="n">
        <v>19.4503968253968</v>
      </c>
      <c r="I40" s="30" t="n">
        <f aca="false">CHOOSE(Painel!$Y$5,F40,G40,H40)</f>
        <v>71.4876190476191</v>
      </c>
      <c r="J40" s="11" t="n">
        <f aca="false">C40/C39-1</f>
        <v>-0.169089517980107</v>
      </c>
      <c r="K40" s="11" t="n">
        <f aca="false">E40/E39-1</f>
        <v>-0.116610441548961</v>
      </c>
      <c r="L40" s="11" t="n">
        <f aca="false">F40/F39-1</f>
        <v>-0.123092110258942</v>
      </c>
      <c r="M40" s="11" t="n">
        <f aca="false">G40/G39-1</f>
        <v>-0.221217693329247</v>
      </c>
      <c r="N40" s="11" t="n">
        <f aca="false">H40/H39-1</f>
        <v>-0.0961144817157505</v>
      </c>
      <c r="O40" s="11" t="n">
        <f aca="false">I40/I39-1</f>
        <v>-0.123092110258942</v>
      </c>
      <c r="P40" s="44" t="n">
        <f aca="false">C40/C$22*100</f>
        <v>64.0330188679245</v>
      </c>
      <c r="Q40" s="44" t="n">
        <f aca="false">I40/I$22*100</f>
        <v>75.4444836784382</v>
      </c>
    </row>
    <row r="41" customFormat="false" ht="15" hidden="false" customHeight="false" outlineLevel="0" collapsed="false">
      <c r="B41" s="0" t="s">
        <v>573</v>
      </c>
      <c r="C41" s="44" t="n">
        <v>108.9</v>
      </c>
      <c r="D41" s="30" t="n">
        <v>5.1433</v>
      </c>
      <c r="E41" s="44" t="n">
        <f aca="false">C41*D41</f>
        <v>560.10537</v>
      </c>
      <c r="F41" s="30" t="n">
        <v>68.3078260869565</v>
      </c>
      <c r="G41" s="30" t="n">
        <v>15.3082608695652</v>
      </c>
      <c r="H41" s="30" t="n">
        <v>20.3547101449275</v>
      </c>
      <c r="I41" s="30" t="n">
        <f aca="false">CHOOSE(Painel!$Y$5,F41,G41,H41)</f>
        <v>68.3078260869565</v>
      </c>
      <c r="J41" s="11" t="n">
        <f aca="false">C41/C40-1</f>
        <v>0.00276243093922668</v>
      </c>
      <c r="K41" s="11" t="n">
        <f aca="false">E41/E40-1</f>
        <v>-0.0392302656340746</v>
      </c>
      <c r="L41" s="11" t="n">
        <f aca="false">F41/F40-1</f>
        <v>-0.0444803310422804</v>
      </c>
      <c r="M41" s="11" t="n">
        <f aca="false">G41/G40-1</f>
        <v>0.0542187914372323</v>
      </c>
      <c r="N41" s="11" t="n">
        <f aca="false">H41/H40-1</f>
        <v>0.0464933095015279</v>
      </c>
      <c r="O41" s="11" t="n">
        <f aca="false">I41/I40-1</f>
        <v>-0.0444803310422804</v>
      </c>
      <c r="P41" s="44" t="n">
        <f aca="false">C41/C$22*100</f>
        <v>64.2099056603774</v>
      </c>
      <c r="Q41" s="44" t="n">
        <f aca="false">I41/I$22*100</f>
        <v>72.0886880691074</v>
      </c>
    </row>
    <row r="42" customFormat="false" ht="15" hidden="false" customHeight="false" outlineLevel="0" collapsed="false">
      <c r="B42" s="0" t="s">
        <v>574</v>
      </c>
      <c r="C42" s="44" t="n">
        <v>99.8</v>
      </c>
      <c r="D42" s="30" t="n">
        <v>5.237</v>
      </c>
      <c r="E42" s="44" t="n">
        <f aca="false">C42*D42</f>
        <v>522.6526</v>
      </c>
      <c r="F42" s="30" t="n">
        <v>67.772380952381</v>
      </c>
      <c r="G42" s="30" t="n">
        <v>13.0566666666667</v>
      </c>
      <c r="H42" s="30" t="n">
        <v>19.8904761904762</v>
      </c>
      <c r="I42" s="30" t="n">
        <f aca="false">CHOOSE(Painel!$Y$5,F42,G42,H42)</f>
        <v>67.772380952381</v>
      </c>
      <c r="J42" s="11" t="n">
        <f aca="false">C42/C41-1</f>
        <v>-0.08356290174472</v>
      </c>
      <c r="K42" s="11" t="n">
        <f aca="false">E42/E41-1</f>
        <v>-0.0668673646174826</v>
      </c>
      <c r="L42" s="11" t="n">
        <f aca="false">F42/F41-1</f>
        <v>-0.00783870846502921</v>
      </c>
      <c r="M42" s="11" t="n">
        <f aca="false">G42/G41-1</f>
        <v>-0.147083605517529</v>
      </c>
      <c r="N42" s="11" t="n">
        <f aca="false">H42/H41-1</f>
        <v>-0.0228072004536523</v>
      </c>
      <c r="O42" s="11" t="n">
        <f aca="false">I42/I41-1</f>
        <v>-0.00783870846502921</v>
      </c>
      <c r="P42" s="44" t="n">
        <f aca="false">C42/C$22*100</f>
        <v>58.8443396226415</v>
      </c>
      <c r="Q42" s="44" t="n">
        <f aca="false">I42/I$22*100</f>
        <v>71.5236058597072</v>
      </c>
    </row>
    <row r="43" customFormat="false" ht="15" hidden="false" customHeight="false" outlineLevel="0" collapsed="false">
      <c r="B43" s="0" t="s">
        <v>575</v>
      </c>
      <c r="C43" s="44" t="n">
        <v>92.6</v>
      </c>
      <c r="D43" s="30" t="n">
        <v>5.2503</v>
      </c>
      <c r="E43" s="44" t="n">
        <f aca="false">C43*D43</f>
        <v>486.17778</v>
      </c>
      <c r="F43" s="30" t="n">
        <v>72.5035</v>
      </c>
      <c r="G43" s="30" t="n">
        <v>13.3745</v>
      </c>
      <c r="H43" s="30" t="n">
        <v>21.64</v>
      </c>
      <c r="I43" s="30" t="n">
        <f aca="false">CHOOSE(Painel!$Y$5,F43,G43,H43)</f>
        <v>72.5035</v>
      </c>
      <c r="J43" s="11" t="n">
        <f aca="false">C43/C42-1</f>
        <v>-0.0721442885771544</v>
      </c>
      <c r="K43" s="11" t="n">
        <f aca="false">E43/E42-1</f>
        <v>-0.0697878858729489</v>
      </c>
      <c r="L43" s="11" t="n">
        <f aca="false">F43/F42-1</f>
        <v>0.0698089543429687</v>
      </c>
      <c r="M43" s="11" t="n">
        <f aca="false">G43/G42-1</f>
        <v>0.0243426091396475</v>
      </c>
      <c r="N43" s="11" t="n">
        <f aca="false">H43/H42-1</f>
        <v>0.0879578644960499</v>
      </c>
      <c r="O43" s="11" t="n">
        <f aca="false">I43/I42-1</f>
        <v>0.0698089543429687</v>
      </c>
      <c r="P43" s="44" t="n">
        <f aca="false">C43/C$22*100</f>
        <v>54.5990566037736</v>
      </c>
      <c r="Q43" s="44" t="n">
        <f aca="false">I43/I$22*100</f>
        <v>76.516593995612</v>
      </c>
    </row>
    <row r="44" customFormat="false" ht="15" hidden="false" customHeight="false" outlineLevel="0" collapsed="false">
      <c r="B44" s="0" t="s">
        <v>576</v>
      </c>
      <c r="C44" s="44" t="n">
        <v>93.3</v>
      </c>
      <c r="D44" s="30" t="n">
        <v>5.2747</v>
      </c>
      <c r="E44" s="44" t="n">
        <f aca="false">C44*D44</f>
        <v>492.12951</v>
      </c>
      <c r="F44" s="30" t="n">
        <v>78.448</v>
      </c>
      <c r="G44" s="30" t="n">
        <v>14.0565</v>
      </c>
      <c r="H44" s="30" t="n">
        <v>24.25875</v>
      </c>
      <c r="I44" s="30" t="n">
        <f aca="false">CHOOSE(Painel!$Y$5,F44,G44,H44)</f>
        <v>78.448</v>
      </c>
      <c r="J44" s="11" t="n">
        <f aca="false">C44/C43-1</f>
        <v>0.00755939524838012</v>
      </c>
      <c r="K44" s="11" t="n">
        <f aca="false">E44/E43-1</f>
        <v>0.0122418799147916</v>
      </c>
      <c r="L44" s="11" t="n">
        <f aca="false">F44/F43-1</f>
        <v>0.0819891453516037</v>
      </c>
      <c r="M44" s="11" t="n">
        <f aca="false">G44/G43-1</f>
        <v>0.0509925604695503</v>
      </c>
      <c r="N44" s="11" t="n">
        <f aca="false">H44/H43-1</f>
        <v>0.121014325323475</v>
      </c>
      <c r="O44" s="11" t="n">
        <f aca="false">I44/I43-1</f>
        <v>0.0819891453516037</v>
      </c>
      <c r="P44" s="44" t="n">
        <f aca="false">C44/C$22*100</f>
        <v>55.0117924528302</v>
      </c>
      <c r="Q44" s="44" t="n">
        <f aca="false">I44/I$22*100</f>
        <v>82.7901241425279</v>
      </c>
    </row>
    <row r="45" customFormat="false" ht="15" hidden="false" customHeight="false" outlineLevel="0" collapsed="false">
      <c r="B45" s="0" t="s">
        <v>577</v>
      </c>
      <c r="C45" s="44" t="n">
        <v>111.8</v>
      </c>
      <c r="D45" s="30" t="n">
        <v>5.2424</v>
      </c>
      <c r="E45" s="44" t="n">
        <f aca="false">C45*D45</f>
        <v>586.10032</v>
      </c>
      <c r="F45" s="30" t="n">
        <v>86.7957142857143</v>
      </c>
      <c r="G45" s="30" t="n">
        <v>14.2871428571429</v>
      </c>
      <c r="H45" s="30" t="n">
        <v>25.2531746031746</v>
      </c>
      <c r="I45" s="30" t="n">
        <f aca="false">CHOOSE(Painel!$Y$5,F45,G45,H45)</f>
        <v>86.7957142857143</v>
      </c>
      <c r="J45" s="11" t="n">
        <f aca="false">C45/C44-1</f>
        <v>0.198285101822079</v>
      </c>
      <c r="K45" s="11" t="n">
        <f aca="false">E45/E44-1</f>
        <v>0.190947317912311</v>
      </c>
      <c r="L45" s="11" t="n">
        <f aca="false">F45/F44-1</f>
        <v>0.10641079805367</v>
      </c>
      <c r="M45" s="11" t="n">
        <f aca="false">G45/G44-1</f>
        <v>0.0164082707034368</v>
      </c>
      <c r="N45" s="11" t="n">
        <f aca="false">H45/H44-1</f>
        <v>0.0409924090554794</v>
      </c>
      <c r="O45" s="11" t="n">
        <f aca="false">I45/I44-1</f>
        <v>0.10641079805367</v>
      </c>
      <c r="P45" s="44" t="n">
        <f aca="false">C45/C$22*100</f>
        <v>65.9198113207547</v>
      </c>
      <c r="Q45" s="44" t="n">
        <f aca="false">I45/I$22*100</f>
        <v>91.5998873234966</v>
      </c>
    </row>
    <row r="46" customFormat="false" ht="15" hidden="false" customHeight="false" outlineLevel="0" collapsed="false">
      <c r="B46" s="0" t="s">
        <v>578</v>
      </c>
      <c r="C46" s="44" t="n">
        <v>122.2</v>
      </c>
      <c r="D46" s="30" t="n">
        <v>5.2007</v>
      </c>
      <c r="E46" s="44" t="n">
        <f aca="false">C46*D46</f>
        <v>635.52554</v>
      </c>
      <c r="F46" s="30" t="n">
        <v>93.2804545454546</v>
      </c>
      <c r="G46" s="30" t="n">
        <v>16.9445454545455</v>
      </c>
      <c r="H46" s="30" t="n">
        <v>26.5265151515152</v>
      </c>
      <c r="I46" s="30" t="n">
        <f aca="false">CHOOSE(Painel!$Y$5,F46,G46,H46)</f>
        <v>93.2804545454546</v>
      </c>
      <c r="J46" s="11" t="n">
        <f aca="false">C46/C45-1</f>
        <v>0.0930232558139534</v>
      </c>
      <c r="K46" s="11" t="n">
        <f aca="false">E46/E45-1</f>
        <v>0.0843289421851878</v>
      </c>
      <c r="L46" s="11" t="n">
        <f aca="false">F46/F45-1</f>
        <v>0.0747126780752536</v>
      </c>
      <c r="M46" s="11" t="n">
        <f aca="false">G46/G45-1</f>
        <v>0.185999581859996</v>
      </c>
      <c r="N46" s="11" t="n">
        <f aca="false">H46/H45-1</f>
        <v>0.0504229891231365</v>
      </c>
      <c r="O46" s="11" t="n">
        <f aca="false">I46/I45-1</f>
        <v>0.0747126780752536</v>
      </c>
      <c r="P46" s="44" t="n">
        <f aca="false">C46/C$22*100</f>
        <v>72.0518867924528</v>
      </c>
      <c r="Q46" s="44" t="n">
        <f aca="false">I46/I$22*100</f>
        <v>98.4435602168265</v>
      </c>
    </row>
    <row r="47" customFormat="false" ht="15" hidden="false" customHeight="false" outlineLevel="0" collapsed="false">
      <c r="B47" s="0" t="s">
        <v>579</v>
      </c>
      <c r="C47" s="44" t="n">
        <v>127.6</v>
      </c>
      <c r="D47" s="30" t="n">
        <v>5.1717</v>
      </c>
      <c r="E47" s="44" t="n">
        <f aca="false">C47*D47</f>
        <v>659.90892</v>
      </c>
      <c r="F47" s="30" t="n">
        <v>87.8588888888889</v>
      </c>
      <c r="G47" s="30" t="n">
        <v>17.3011111111111</v>
      </c>
      <c r="H47" s="30" t="n">
        <v>24.4782407407407</v>
      </c>
      <c r="I47" s="30" t="n">
        <f aca="false">CHOOSE(Painel!$Y$5,F47,G47,H47)</f>
        <v>87.8588888888889</v>
      </c>
      <c r="J47" s="11" t="n">
        <f aca="false">C47/C46-1</f>
        <v>0.0441898527004909</v>
      </c>
      <c r="K47" s="11" t="n">
        <f aca="false">E47/E46-1</f>
        <v>0.038367270023483</v>
      </c>
      <c r="L47" s="11" t="n">
        <f aca="false">F47/F46-1</f>
        <v>-0.0581211324814438</v>
      </c>
      <c r="M47" s="11" t="n">
        <f aca="false">G47/G46-1</f>
        <v>0.0210430936328248</v>
      </c>
      <c r="N47" s="11" t="n">
        <f aca="false">H47/H46-1</f>
        <v>-0.0772161137290367</v>
      </c>
      <c r="O47" s="11" t="n">
        <f aca="false">I47/I46-1</f>
        <v>-0.0581211324814438</v>
      </c>
      <c r="P47" s="44" t="n">
        <f aca="false">C47/C$22*100</f>
        <v>75.2358490566038</v>
      </c>
      <c r="Q47" s="44" t="n">
        <f aca="false">I47/I$22*100</f>
        <v>92.7219090115194</v>
      </c>
    </row>
    <row r="48" customFormat="false" ht="15" hidden="false" customHeight="false" outlineLevel="0" collapsed="false">
      <c r="B48" s="0" t="s">
        <v>580</v>
      </c>
      <c r="C48" s="44" t="n">
        <v>128.4</v>
      </c>
      <c r="D48" s="30" t="n">
        <v>5.2115</v>
      </c>
      <c r="E48" s="44" t="n">
        <f aca="false">C48*D48</f>
        <v>669.1566</v>
      </c>
      <c r="F48" s="30" t="n">
        <v>83.3178260869565</v>
      </c>
      <c r="G48" s="30" t="n">
        <v>15.6260869565217</v>
      </c>
      <c r="H48" s="30" t="n">
        <v>22.0322463768116</v>
      </c>
      <c r="I48" s="30" t="n">
        <f aca="false">CHOOSE(Painel!$Y$5,F48,G48,H48)</f>
        <v>83.3178260869565</v>
      </c>
      <c r="J48" s="11" t="n">
        <f aca="false">C48/C47-1</f>
        <v>0.00626959247648906</v>
      </c>
      <c r="K48" s="11" t="n">
        <f aca="false">E48/E47-1</f>
        <v>0.0140135702363291</v>
      </c>
      <c r="L48" s="11" t="n">
        <f aca="false">F48/F47-1</f>
        <v>-0.0516858664998057</v>
      </c>
      <c r="M48" s="11" t="n">
        <f aca="false">G48/G47-1</f>
        <v>-0.0968159873566522</v>
      </c>
      <c r="N48" s="11" t="n">
        <f aca="false">H48/H47-1</f>
        <v>-0.0999252515667155</v>
      </c>
      <c r="O48" s="11" t="n">
        <f aca="false">I48/I47-1</f>
        <v>-0.0516858664998057</v>
      </c>
      <c r="P48" s="44" t="n">
        <f aca="false">C48/C$22*100</f>
        <v>75.7075471698113</v>
      </c>
      <c r="Q48" s="44" t="n">
        <f aca="false">I48/I$22*100</f>
        <v>87.9294968007428</v>
      </c>
    </row>
    <row r="49" customFormat="false" ht="15" hidden="false" customHeight="false" outlineLevel="0" collapsed="false">
      <c r="B49" s="0" t="s">
        <v>581</v>
      </c>
      <c r="C49" s="44" t="n">
        <v>117.4</v>
      </c>
      <c r="D49" s="30" t="n">
        <v>5.0197</v>
      </c>
      <c r="E49" s="44" t="n">
        <f aca="false">C49*D49</f>
        <v>589.31278</v>
      </c>
      <c r="F49" s="30" t="n">
        <v>76.4005555555556</v>
      </c>
      <c r="G49" s="30" t="n">
        <v>14.7116666666667</v>
      </c>
      <c r="H49" s="30" t="n">
        <v>20.9796296296296</v>
      </c>
      <c r="I49" s="30" t="n">
        <f aca="false">CHOOSE(Painel!$Y$5,F49,G49,H49)</f>
        <v>76.4005555555556</v>
      </c>
      <c r="J49" s="11" t="n">
        <f aca="false">C49/C48-1</f>
        <v>-0.0856697819314641</v>
      </c>
      <c r="K49" s="11" t="n">
        <f aca="false">E49/E48-1</f>
        <v>-0.119320081427875</v>
      </c>
      <c r="L49" s="11" t="n">
        <f aca="false">F49/F48-1</f>
        <v>-0.0830226958175985</v>
      </c>
      <c r="M49" s="11" t="n">
        <f aca="false">G49/G48-1</f>
        <v>-0.0585188276757558</v>
      </c>
      <c r="N49" s="11" t="n">
        <f aca="false">H49/H48-1</f>
        <v>-0.0477761881008113</v>
      </c>
      <c r="O49" s="11" t="n">
        <f aca="false">I49/I48-1</f>
        <v>-0.0830226958175985</v>
      </c>
      <c r="P49" s="44" t="n">
        <f aca="false">C49/C$22*100</f>
        <v>69.2216981132076</v>
      </c>
      <c r="Q49" s="44" t="n">
        <f aca="false">I49/I$22*100</f>
        <v>80.6293529344603</v>
      </c>
    </row>
    <row r="50" customFormat="false" ht="15" hidden="false" customHeight="false" outlineLevel="0" collapsed="false">
      <c r="B50" s="0" t="s">
        <v>582</v>
      </c>
      <c r="C50" s="44" t="n">
        <v>105.2</v>
      </c>
      <c r="D50" s="30" t="n">
        <v>4.9828</v>
      </c>
      <c r="E50" s="44" t="n">
        <f aca="false">C50*D50</f>
        <v>524.19056</v>
      </c>
      <c r="F50" s="30" t="n">
        <v>67.7786363636364</v>
      </c>
      <c r="G50" s="30" t="n">
        <v>12.8104545454546</v>
      </c>
      <c r="H50" s="30" t="n">
        <v>20.3681818181818</v>
      </c>
      <c r="I50" s="30" t="n">
        <f aca="false">CHOOSE(Painel!$Y$5,F50,G50,H50)</f>
        <v>67.7786363636364</v>
      </c>
      <c r="J50" s="11" t="n">
        <f aca="false">C50/C49-1</f>
        <v>-0.103918228279387</v>
      </c>
      <c r="K50" s="11" t="n">
        <f aca="false">E50/E49-1</f>
        <v>-0.110505358461766</v>
      </c>
      <c r="L50" s="11" t="n">
        <f aca="false">F50/F49-1</f>
        <v>-0.112851524824969</v>
      </c>
      <c r="M50" s="11" t="n">
        <f aca="false">G50/G49-1</f>
        <v>-0.129231593149119</v>
      </c>
      <c r="N50" s="11" t="n">
        <f aca="false">H50/H49-1</f>
        <v>-0.0291448334523627</v>
      </c>
      <c r="O50" s="11" t="n">
        <f aca="false">I50/I49-1</f>
        <v>-0.112851524824969</v>
      </c>
      <c r="P50" s="44" t="n">
        <f aca="false">C50/C$22*100</f>
        <v>62.0283018867925</v>
      </c>
      <c r="Q50" s="44" t="n">
        <f aca="false">I50/I$22*100</f>
        <v>71.5302075101559</v>
      </c>
    </row>
    <row r="51" customFormat="false" ht="15" hidden="false" customHeight="false" outlineLevel="0" collapsed="false">
      <c r="B51" s="0" t="s">
        <v>583</v>
      </c>
      <c r="C51" s="44" t="n">
        <v>113.5</v>
      </c>
      <c r="D51" s="30" t="n">
        <v>4.8516</v>
      </c>
      <c r="E51" s="44" t="n">
        <f aca="false">C51*D51</f>
        <v>550.6566</v>
      </c>
      <c r="F51" s="30" t="n">
        <v>67.24</v>
      </c>
      <c r="G51" s="30" t="n">
        <v>12.9190476190476</v>
      </c>
      <c r="H51" s="30" t="n">
        <v>21.1218253968254</v>
      </c>
      <c r="I51" s="30" t="n">
        <f aca="false">CHOOSE(Painel!$Y$5,F51,G51,H51)</f>
        <v>67.24</v>
      </c>
      <c r="J51" s="11" t="n">
        <f aca="false">C51/C50-1</f>
        <v>0.0788973384030418</v>
      </c>
      <c r="K51" s="11" t="n">
        <f aca="false">E51/E50-1</f>
        <v>0.0504893487589704</v>
      </c>
      <c r="L51" s="11" t="n">
        <f aca="false">F51/F50-1</f>
        <v>-0.00794699321990711</v>
      </c>
      <c r="M51" s="11" t="n">
        <f aca="false">G51/G50-1</f>
        <v>0.00847691026167374</v>
      </c>
      <c r="N51" s="11" t="n">
        <f aca="false">H51/H50-1</f>
        <v>0.0370010237227376</v>
      </c>
      <c r="O51" s="11" t="n">
        <f aca="false">I51/I50-1</f>
        <v>-0.00794699321990711</v>
      </c>
      <c r="P51" s="44" t="n">
        <f aca="false">C51/C$22*100</f>
        <v>66.9221698113208</v>
      </c>
      <c r="Q51" s="44" t="n">
        <f aca="false">I51/I$22*100</f>
        <v>70.9617574360541</v>
      </c>
    </row>
    <row r="52" customFormat="false" ht="15" hidden="false" customHeight="false" outlineLevel="0" collapsed="false">
      <c r="B52" s="0" t="s">
        <v>584</v>
      </c>
      <c r="C52" s="44" t="n">
        <v>114.4</v>
      </c>
      <c r="D52" s="30" t="n">
        <v>4.8008</v>
      </c>
      <c r="E52" s="44" t="n">
        <f aca="false">C52*D52</f>
        <v>549.21152</v>
      </c>
      <c r="F52" s="30" t="n">
        <v>67.6952380952381</v>
      </c>
      <c r="G52" s="30" t="n">
        <v>12.8876190476191</v>
      </c>
      <c r="H52" s="30" t="n">
        <v>22.7246031746032</v>
      </c>
      <c r="I52" s="30" t="n">
        <f aca="false">CHOOSE(Painel!$Y$5,F52,G52,H52)</f>
        <v>67.6952380952381</v>
      </c>
      <c r="J52" s="11" t="n">
        <f aca="false">C52/C51-1</f>
        <v>0.00792951541850218</v>
      </c>
      <c r="K52" s="11" t="n">
        <f aca="false">E52/E51-1</f>
        <v>-0.00262428526235781</v>
      </c>
      <c r="L52" s="11" t="n">
        <f aca="false">F52/F51-1</f>
        <v>0.00677034644910912</v>
      </c>
      <c r="M52" s="11" t="n">
        <f aca="false">G52/G51-1</f>
        <v>-0.00243273129377053</v>
      </c>
      <c r="N52" s="11" t="n">
        <f aca="false">H52/H51-1</f>
        <v>0.0758825408157511</v>
      </c>
      <c r="O52" s="11" t="n">
        <f aca="false">I52/I51-1</f>
        <v>0.00677034644910912</v>
      </c>
      <c r="P52" s="44" t="n">
        <f aca="false">C52/C$22*100</f>
        <v>67.4528301886792</v>
      </c>
      <c r="Q52" s="44" t="n">
        <f aca="false">I52/I$22*100</f>
        <v>71.4421931185338</v>
      </c>
    </row>
    <row r="53" customFormat="false" ht="15" hidden="false" customHeight="false" outlineLevel="0" collapsed="false">
      <c r="B53" s="0" t="s">
        <v>585</v>
      </c>
      <c r="C53" s="44" t="n">
        <v>110.2</v>
      </c>
      <c r="D53" s="30" t="n">
        <v>4.9035</v>
      </c>
      <c r="E53" s="44" t="n">
        <f aca="false">C53*D53</f>
        <v>540.3657</v>
      </c>
      <c r="F53" s="30" t="n">
        <v>64.3734782608696</v>
      </c>
      <c r="G53" s="30" t="n">
        <v>12.44</v>
      </c>
      <c r="H53" s="30" t="n">
        <v>21.8369565217391</v>
      </c>
      <c r="I53" s="30" t="n">
        <f aca="false">CHOOSE(Painel!$Y$5,F53,G53,H53)</f>
        <v>64.3734782608696</v>
      </c>
      <c r="J53" s="11" t="n">
        <f aca="false">C53/C52-1</f>
        <v>-0.0367132867132868</v>
      </c>
      <c r="K53" s="11" t="n">
        <f aca="false">E53/E52-1</f>
        <v>-0.0161063992248376</v>
      </c>
      <c r="L53" s="11" t="n">
        <f aca="false">F53/F52-1</f>
        <v>-0.0490693278852977</v>
      </c>
      <c r="M53" s="11" t="n">
        <f aca="false">G53/G52-1</f>
        <v>-0.0347324859592081</v>
      </c>
      <c r="N53" s="11" t="n">
        <f aca="false">H53/H52-1</f>
        <v>-0.0390610408482762</v>
      </c>
      <c r="O53" s="11" t="n">
        <f aca="false">I53/I52-1</f>
        <v>-0.0490693278852977</v>
      </c>
      <c r="P53" s="44" t="n">
        <f aca="false">C53/C$22*100</f>
        <v>64.9764150943396</v>
      </c>
      <c r="Q53" s="44" t="n">
        <f aca="false">I53/I$22*100</f>
        <v>67.9365727195557</v>
      </c>
    </row>
    <row r="54" customFormat="false" ht="15" hidden="false" customHeight="false" outlineLevel="0" collapsed="false">
      <c r="B54" s="0" t="s">
        <v>586</v>
      </c>
      <c r="C54" s="44" t="n">
        <v>121</v>
      </c>
      <c r="D54" s="30" t="n">
        <v>4.937</v>
      </c>
      <c r="E54" s="44" t="n">
        <f aca="false">C54*D54</f>
        <v>597.377</v>
      </c>
      <c r="F54" s="30" t="n">
        <v>67.9465</v>
      </c>
      <c r="G54" s="30" t="n">
        <v>12.216</v>
      </c>
      <c r="H54" s="30" t="n">
        <v>20.9</v>
      </c>
      <c r="I54" s="30" t="n">
        <f aca="false">CHOOSE(Painel!$Y$5,F54,G54,H54)</f>
        <v>67.9465</v>
      </c>
      <c r="J54" s="11" t="n">
        <f aca="false">C54/C53-1</f>
        <v>0.0980036297640654</v>
      </c>
      <c r="K54" s="11" t="n">
        <f aca="false">E54/E53-1</f>
        <v>0.105505031129844</v>
      </c>
      <c r="L54" s="11" t="n">
        <f aca="false">F54/F53-1</f>
        <v>0.0555045623704065</v>
      </c>
      <c r="M54" s="11" t="n">
        <f aca="false">G54/G53-1</f>
        <v>-0.0180064308681672</v>
      </c>
      <c r="N54" s="11" t="n">
        <f aca="false">H54/H53-1</f>
        <v>-0.042906918865107</v>
      </c>
      <c r="O54" s="11" t="n">
        <f aca="false">I54/I53-1</f>
        <v>0.0555045623704065</v>
      </c>
      <c r="P54" s="44" t="n">
        <f aca="false">C54/C$22*100</f>
        <v>71.3443396226415</v>
      </c>
      <c r="Q54" s="44" t="n">
        <f aca="false">I54/I$22*100</f>
        <v>71.7073624573</v>
      </c>
    </row>
    <row r="55" customFormat="false" ht="15" hidden="false" customHeight="false" outlineLevel="0" collapsed="false">
      <c r="B55" s="0" t="s">
        <v>587</v>
      </c>
      <c r="C55" s="44" t="n">
        <v>119</v>
      </c>
      <c r="D55" s="30" t="n">
        <v>5.0648</v>
      </c>
      <c r="E55" s="44" t="n">
        <f aca="false">C55*D55</f>
        <v>602.7112</v>
      </c>
      <c r="F55" s="30" t="n">
        <v>66.0690476190476</v>
      </c>
      <c r="G55" s="30" t="n">
        <v>11.4552380952381</v>
      </c>
      <c r="H55" s="30" t="n">
        <v>18.5345238095238</v>
      </c>
      <c r="I55" s="30" t="n">
        <f aca="false">CHOOSE(Painel!$Y$5,F55,G55,H55)</f>
        <v>66.0690476190476</v>
      </c>
      <c r="J55" s="11" t="n">
        <f aca="false">C55/C54-1</f>
        <v>-0.0165289256198347</v>
      </c>
      <c r="K55" s="11" t="n">
        <f aca="false">E55/E54-1</f>
        <v>0.00892936956059565</v>
      </c>
      <c r="L55" s="11" t="n">
        <f aca="false">F55/F54-1</f>
        <v>-0.0276313331952694</v>
      </c>
      <c r="M55" s="11" t="n">
        <f aca="false">G55/G54-1</f>
        <v>-0.0622758599182957</v>
      </c>
      <c r="N55" s="11" t="n">
        <f aca="false">H55/H54-1</f>
        <v>-0.113180678970152</v>
      </c>
      <c r="O55" s="11" t="n">
        <f aca="false">I55/I54-1</f>
        <v>-0.0276313331952694</v>
      </c>
      <c r="P55" s="44" t="n">
        <f aca="false">C55/C$22*100</f>
        <v>70.1650943396226</v>
      </c>
      <c r="Q55" s="44" t="n">
        <f aca="false">I55/I$22*100</f>
        <v>69.7259924326884</v>
      </c>
    </row>
    <row r="56" customFormat="false" ht="15" hidden="false" customHeight="false" outlineLevel="0" collapsed="false">
      <c r="B56" s="0" t="s">
        <v>588</v>
      </c>
      <c r="C56" s="44" t="n">
        <v>131.1</v>
      </c>
      <c r="D56" s="30" t="n">
        <v>4.8983</v>
      </c>
      <c r="E56" s="44" t="n">
        <f aca="false">C56*D56</f>
        <v>642.16713</v>
      </c>
      <c r="F56" s="30" t="n">
        <v>72.981</v>
      </c>
      <c r="G56" s="30" t="n">
        <v>14.4035</v>
      </c>
      <c r="H56" s="30" t="n">
        <v>19.1929166666667</v>
      </c>
      <c r="I56" s="30" t="n">
        <f aca="false">CHOOSE(Painel!$Y$5,F56,G56,H56)</f>
        <v>72.981</v>
      </c>
      <c r="J56" s="11" t="n">
        <f aca="false">C56/C55-1</f>
        <v>0.101680672268907</v>
      </c>
      <c r="K56" s="11" t="n">
        <f aca="false">E56/E55-1</f>
        <v>0.0654640730087643</v>
      </c>
      <c r="L56" s="11" t="n">
        <f aca="false">F56/F55-1</f>
        <v>0.104617103319038</v>
      </c>
      <c r="M56" s="11" t="n">
        <f aca="false">G56/G55-1</f>
        <v>0.257372381110741</v>
      </c>
      <c r="N56" s="11" t="n">
        <f aca="false">H56/H55-1</f>
        <v>0.0355225126854648</v>
      </c>
      <c r="O56" s="11" t="n">
        <f aca="false">I56/I55-1</f>
        <v>0.104617103319038</v>
      </c>
      <c r="P56" s="44" t="n">
        <f aca="false">C56/C$22*100</f>
        <v>77.2995283018868</v>
      </c>
      <c r="Q56" s="44" t="n">
        <f aca="false">I56/I$22*100</f>
        <v>77.0205237870414</v>
      </c>
    </row>
    <row r="57" customFormat="false" ht="15" hidden="false" customHeight="false" outlineLevel="0" collapsed="false">
      <c r="B57" s="0" t="s">
        <v>589</v>
      </c>
      <c r="C57" s="44" t="n">
        <v>137.1</v>
      </c>
      <c r="D57" s="30" t="n">
        <v>4.8972</v>
      </c>
      <c r="E57" s="44" t="n">
        <f aca="false">C57*D57</f>
        <v>671.40612</v>
      </c>
      <c r="F57" s="30" t="n">
        <v>74.3963157894737</v>
      </c>
      <c r="G57" s="30" t="n">
        <v>18.021052631579</v>
      </c>
      <c r="H57" s="30" t="n">
        <v>19.1105263157895</v>
      </c>
      <c r="I57" s="30" t="n">
        <f aca="false">CHOOSE(Painel!$Y$5,F57,G57,H57)</f>
        <v>74.3963157894737</v>
      </c>
      <c r="J57" s="11" t="n">
        <f aca="false">C57/C56-1</f>
        <v>0.0457665903890161</v>
      </c>
      <c r="K57" s="11" t="n">
        <f aca="false">E57/E56-1</f>
        <v>0.0455317449835841</v>
      </c>
      <c r="L57" s="11" t="n">
        <f aca="false">F57/F56-1</f>
        <v>0.0193929350032707</v>
      </c>
      <c r="M57" s="11" t="n">
        <f aca="false">G57/G56-1</f>
        <v>0.251157887428677</v>
      </c>
      <c r="N57" s="11" t="n">
        <f aca="false">H57/H56-1</f>
        <v>-0.00429274780420885</v>
      </c>
      <c r="O57" s="11" t="n">
        <f aca="false">I57/I56-1</f>
        <v>0.0193929350032707</v>
      </c>
      <c r="P57" s="44" t="n">
        <f aca="false">C57/C$22*100</f>
        <v>80.8372641509434</v>
      </c>
      <c r="Q57" s="44" t="n">
        <f aca="false">I57/I$22*100</f>
        <v>78.5141777987614</v>
      </c>
    </row>
    <row r="58" customFormat="false" ht="15" hidden="false" customHeight="false" outlineLevel="0" collapsed="false">
      <c r="B58" s="0" t="s">
        <v>590</v>
      </c>
      <c r="C58" s="44" t="n">
        <v>135.8</v>
      </c>
      <c r="D58" s="30" t="n">
        <v>4.9144</v>
      </c>
      <c r="E58" s="44" t="n">
        <f aca="false">C58*D58</f>
        <v>667.37552</v>
      </c>
      <c r="F58" s="30" t="n">
        <v>71.2404545454545</v>
      </c>
      <c r="G58" s="30" t="n">
        <v>18.0513636363636</v>
      </c>
      <c r="H58" s="30" t="n">
        <v>18.1098484848485</v>
      </c>
      <c r="I58" s="30" t="n">
        <f aca="false">CHOOSE(Painel!$Y$5,F58,G58,H58)</f>
        <v>71.2404545454545</v>
      </c>
      <c r="J58" s="11" t="n">
        <f aca="false">C58/C57-1</f>
        <v>-0.00948212983223917</v>
      </c>
      <c r="K58" s="11" t="n">
        <f aca="false">E58/E57-1</f>
        <v>-0.00600322201412151</v>
      </c>
      <c r="L58" s="11" t="n">
        <f aca="false">F58/F57-1</f>
        <v>-0.0424195904129122</v>
      </c>
      <c r="M58" s="11" t="n">
        <f aca="false">G58/G57-1</f>
        <v>0.00168197748513177</v>
      </c>
      <c r="N58" s="11" t="n">
        <f aca="false">H58/H57-1</f>
        <v>-0.0523626515777439</v>
      </c>
      <c r="O58" s="11" t="n">
        <f aca="false">I58/I57-1</f>
        <v>-0.0424195904129122</v>
      </c>
      <c r="P58" s="44" t="n">
        <f aca="false">C58/C$22*100</f>
        <v>80.0707547169811</v>
      </c>
      <c r="Q58" s="44" t="n">
        <f aca="false">I58/I$22*100</f>
        <v>75.1836385349314</v>
      </c>
    </row>
    <row r="59" customFormat="false" ht="15" hidden="false" customHeight="false" outlineLevel="0" collapsed="false">
      <c r="B59" s="0" t="s">
        <v>591</v>
      </c>
      <c r="C59" s="44" t="n">
        <v>124.4</v>
      </c>
      <c r="D59" s="30" t="n">
        <v>4.9644</v>
      </c>
      <c r="E59" s="44" t="n">
        <f aca="false">C59*D59</f>
        <v>617.57136</v>
      </c>
      <c r="F59" s="30" t="n">
        <v>66.5852631578947</v>
      </c>
      <c r="G59" s="30" t="n">
        <v>17.7647368421053</v>
      </c>
      <c r="H59" s="30" t="n">
        <v>17.7973684210526</v>
      </c>
      <c r="I59" s="30" t="n">
        <f aca="false">CHOOSE(Painel!$Y$5,F59,G59,H59)</f>
        <v>66.5852631578947</v>
      </c>
      <c r="J59" s="11" t="n">
        <f aca="false">C59/C58-1</f>
        <v>-0.0839469808541974</v>
      </c>
      <c r="K59" s="11" t="n">
        <f aca="false">E59/E58-1</f>
        <v>-0.0746268907196357</v>
      </c>
      <c r="L59" s="11" t="n">
        <f aca="false">F59/F58-1</f>
        <v>-0.0653447737982861</v>
      </c>
      <c r="M59" s="11" t="n">
        <f aca="false">G59/G58-1</f>
        <v>-0.0158784012129135</v>
      </c>
      <c r="N59" s="11" t="n">
        <f aca="false">H59/H58-1</f>
        <v>-0.0172547033763025</v>
      </c>
      <c r="O59" s="11" t="n">
        <f aca="false">I59/I58-1</f>
        <v>-0.0653447737982861</v>
      </c>
      <c r="P59" s="44" t="n">
        <f aca="false">C59/C$22*100</f>
        <v>73.3490566037736</v>
      </c>
      <c r="Q59" s="44" t="n">
        <f aca="false">I59/I$22*100</f>
        <v>70.2707806815341</v>
      </c>
    </row>
    <row r="60" customFormat="false" ht="15" hidden="false" customHeight="false" outlineLevel="0" collapsed="false">
      <c r="B60" s="0" t="s">
        <v>592</v>
      </c>
      <c r="C60" s="44" t="n">
        <v>109.8</v>
      </c>
      <c r="D60" s="30" t="n">
        <v>4.9801</v>
      </c>
      <c r="E60" s="44" t="n">
        <f aca="false">C60*D60</f>
        <v>546.81498</v>
      </c>
      <c r="F60" s="30" t="n">
        <v>62.7</v>
      </c>
      <c r="G60" s="30" t="n">
        <v>16.065</v>
      </c>
      <c r="H60" s="30" t="n">
        <v>18.0054166666667</v>
      </c>
      <c r="I60" s="30" t="n">
        <f aca="false">CHOOSE(Painel!$Y$5,F60,G60,H60)</f>
        <v>62.7</v>
      </c>
      <c r="J60" s="11" t="n">
        <f aca="false">C60/C59-1</f>
        <v>-0.117363344051447</v>
      </c>
      <c r="K60" s="11" t="n">
        <f aca="false">E60/E59-1</f>
        <v>-0.114571990514586</v>
      </c>
      <c r="L60" s="11" t="n">
        <f aca="false">F60/F59-1</f>
        <v>-0.0583501960288351</v>
      </c>
      <c r="M60" s="11" t="n">
        <f aca="false">G60/G59-1</f>
        <v>-0.0956803839658695</v>
      </c>
      <c r="N60" s="11" t="n">
        <f aca="false">H60/H59-1</f>
        <v>0.0116898319286309</v>
      </c>
      <c r="O60" s="11" t="n">
        <f aca="false">I60/I59-1</f>
        <v>-0.0583501960288351</v>
      </c>
      <c r="P60" s="44" t="n">
        <f aca="false">C60/C$22*100</f>
        <v>64.7405660377359</v>
      </c>
      <c r="Q60" s="44" t="n">
        <f aca="false">I60/I$22*100</f>
        <v>66.1704668536674</v>
      </c>
    </row>
    <row r="61" customFormat="false" ht="15" hidden="false" customHeight="false" outlineLevel="0" collapsed="false">
      <c r="B61" s="0" t="s">
        <v>593</v>
      </c>
      <c r="C61" s="44" t="n">
        <v>112.8</v>
      </c>
      <c r="D61" s="30" t="n">
        <v>5.1291</v>
      </c>
      <c r="E61" s="44" t="n">
        <f aca="false">C61*D61</f>
        <v>578.56248</v>
      </c>
      <c r="F61" s="30" t="n">
        <v>62.18</v>
      </c>
      <c r="G61" s="30" t="n">
        <v>14.6159090909091</v>
      </c>
      <c r="H61" s="30" t="n">
        <v>18.8512878787879</v>
      </c>
      <c r="I61" s="30" t="n">
        <f aca="false">CHOOSE(Painel!$Y$5,F61,G61,H61)</f>
        <v>62.18</v>
      </c>
      <c r="J61" s="11" t="n">
        <f aca="false">C61/C60-1</f>
        <v>0.0273224043715847</v>
      </c>
      <c r="K61" s="11" t="n">
        <f aca="false">E61/E60-1</f>
        <v>0.0580589434473797</v>
      </c>
      <c r="L61" s="11" t="n">
        <f aca="false">F61/F60-1</f>
        <v>-0.00829346092503991</v>
      </c>
      <c r="M61" s="11" t="n">
        <f aca="false">G61/G60-1</f>
        <v>-0.0902017372605609</v>
      </c>
      <c r="N61" s="11" t="n">
        <f aca="false">H61/H60-1</f>
        <v>0.0469787080066393</v>
      </c>
      <c r="O61" s="11" t="n">
        <f aca="false">I61/I60-1</f>
        <v>-0.00829346092503991</v>
      </c>
      <c r="P61" s="44" t="n">
        <f aca="false">C61/C$22*100</f>
        <v>66.5094339622642</v>
      </c>
      <c r="Q61" s="44" t="n">
        <f aca="false">I61/I$22*100</f>
        <v>65.6216846724248</v>
      </c>
    </row>
    <row r="62" customFormat="false" ht="15" hidden="false" customHeight="false" outlineLevel="0" collapsed="false">
      <c r="B62" s="0" t="s">
        <v>594</v>
      </c>
      <c r="C62" s="44" t="n">
        <v>118.9</v>
      </c>
      <c r="D62" s="30" t="n">
        <v>5.133</v>
      </c>
      <c r="E62" s="44" t="n">
        <f aca="false">C62*D62</f>
        <v>610.3137</v>
      </c>
      <c r="F62" s="30" t="n">
        <v>64.6476190476191</v>
      </c>
      <c r="G62" s="30" t="n">
        <v>13.6185714285714</v>
      </c>
      <c r="H62" s="30" t="n">
        <v>19.0738095238095</v>
      </c>
      <c r="I62" s="30" t="n">
        <f aca="false">CHOOSE(Painel!$Y$5,F62,G62,H62)</f>
        <v>64.6476190476191</v>
      </c>
      <c r="J62" s="11" t="n">
        <f aca="false">C62/C61-1</f>
        <v>0.0540780141843973</v>
      </c>
      <c r="K62" s="11" t="n">
        <f aca="false">E62/E61-1</f>
        <v>0.0548795006547953</v>
      </c>
      <c r="L62" s="11" t="n">
        <f aca="false">F62/F61-1</f>
        <v>0.0396850924351728</v>
      </c>
      <c r="M62" s="11" t="n">
        <f aca="false">G62/G61-1</f>
        <v>-0.0682364440100405</v>
      </c>
      <c r="N62" s="11" t="n">
        <f aca="false">H62/H61-1</f>
        <v>0.0118040553225029</v>
      </c>
      <c r="O62" s="11" t="n">
        <f aca="false">I62/I61-1</f>
        <v>0.0396850924351728</v>
      </c>
      <c r="P62" s="44" t="n">
        <f aca="false">C62/C$22*100</f>
        <v>70.1061320754717</v>
      </c>
      <c r="Q62" s="44" t="n">
        <f aca="false">I62/I$22*100</f>
        <v>68.2258872944018</v>
      </c>
    </row>
    <row r="63" customFormat="false" ht="15" hidden="false" customHeight="false" outlineLevel="0" collapsed="false">
      <c r="B63" s="0" t="s">
        <v>595</v>
      </c>
      <c r="C63" s="44" t="n">
        <v>107.5</v>
      </c>
      <c r="D63" s="30" t="n">
        <v>5.389</v>
      </c>
      <c r="E63" s="44" t="n">
        <f aca="false">C63*D63</f>
        <v>579.3175</v>
      </c>
      <c r="F63" s="30" t="n">
        <v>60.9795</v>
      </c>
      <c r="G63" s="30" t="n">
        <v>12.5095</v>
      </c>
      <c r="H63" s="30" t="n">
        <v>17.453</v>
      </c>
      <c r="I63" s="30" t="n">
        <f aca="false">CHOOSE(Painel!$Y$5,F63,G63,H63)</f>
        <v>60.9795</v>
      </c>
      <c r="J63" s="11" t="n">
        <f aca="false">C63/C62-1</f>
        <v>-0.095878889823381</v>
      </c>
      <c r="K63" s="11" t="n">
        <f aca="false">E63/E62-1</f>
        <v>-0.0507873246168323</v>
      </c>
      <c r="L63" s="11" t="n">
        <f aca="false">F63/F62-1</f>
        <v>-0.0567402032999412</v>
      </c>
      <c r="M63" s="11" t="n">
        <f aca="false">G63/G62-1</f>
        <v>-0.0814381621735028</v>
      </c>
      <c r="N63" s="11" t="n">
        <f aca="false">H63/H62-1</f>
        <v>-0.0849756584696041</v>
      </c>
      <c r="O63" s="11" t="n">
        <f aca="false">I63/I62-1</f>
        <v>-0.0567402032999412</v>
      </c>
      <c r="P63" s="44" t="n">
        <f aca="false">C63/C$22*100</f>
        <v>63.3844339622642</v>
      </c>
      <c r="Q63" s="44" t="n">
        <f aca="false">I63/I$22*100</f>
        <v>64.3547365789985</v>
      </c>
    </row>
    <row r="64" customFormat="false" ht="15" hidden="false" customHeight="false" outlineLevel="0" collapsed="false">
      <c r="B64" s="0" t="s">
        <v>596</v>
      </c>
      <c r="C64" s="44" t="n">
        <v>106.9</v>
      </c>
      <c r="D64" s="30" t="n">
        <v>5.542</v>
      </c>
      <c r="E64" s="44" t="n">
        <f aca="false">C64*D64</f>
        <v>592.4398</v>
      </c>
      <c r="F64" s="30" t="n">
        <v>62.0713043478261</v>
      </c>
      <c r="G64" s="30" t="n">
        <v>12.6917391304348</v>
      </c>
      <c r="H64" s="30" t="n">
        <v>18.3208695652174</v>
      </c>
      <c r="I64" s="30" t="n">
        <f aca="false">CHOOSE(Painel!$Y$5,F64,G64,H64)</f>
        <v>62.0713043478261</v>
      </c>
      <c r="J64" s="11" t="n">
        <f aca="false">C64/C63-1</f>
        <v>-0.00558139534883717</v>
      </c>
      <c r="K64" s="11" t="n">
        <f aca="false">E64/E63-1</f>
        <v>0.022651309515076</v>
      </c>
      <c r="L64" s="11" t="n">
        <f aca="false">F64/F63-1</f>
        <v>0.0179044490005018</v>
      </c>
      <c r="M64" s="11" t="n">
        <f aca="false">G64/G63-1</f>
        <v>0.0145680587101626</v>
      </c>
      <c r="N64" s="11" t="n">
        <f aca="false">H64/H63-1</f>
        <v>0.0497260966720559</v>
      </c>
      <c r="O64" s="11" t="n">
        <f aca="false">I64/I63-1</f>
        <v>0.0179044490005018</v>
      </c>
      <c r="P64" s="44" t="n">
        <f aca="false">C64/C$22*100</f>
        <v>63.0306603773585</v>
      </c>
      <c r="Q64" s="44" t="n">
        <f aca="false">I64/I$22*100</f>
        <v>65.5069726780179</v>
      </c>
    </row>
    <row r="65" customFormat="false" ht="15" hidden="false" customHeight="false" outlineLevel="0" collapsed="false">
      <c r="B65" s="0" t="s">
        <v>597</v>
      </c>
      <c r="C65" s="44" t="n">
        <v>99.9</v>
      </c>
      <c r="D65" s="30" t="n">
        <v>5.5526</v>
      </c>
      <c r="E65" s="44" t="n">
        <f aca="false">C65*D65</f>
        <v>554.70474</v>
      </c>
      <c r="F65" s="30" t="n">
        <v>57.7754545454545</v>
      </c>
      <c r="G65" s="30" t="n">
        <v>11.7740909090909</v>
      </c>
      <c r="H65" s="30" t="n">
        <v>17.7718181818182</v>
      </c>
      <c r="I65" s="30" t="n">
        <f aca="false">CHOOSE(Painel!$Y$5,F65,G65,H65)</f>
        <v>57.7754545454545</v>
      </c>
      <c r="J65" s="11" t="n">
        <f aca="false">C65/C64-1</f>
        <v>-0.0654817586529467</v>
      </c>
      <c r="K65" s="11" t="n">
        <f aca="false">E65/E64-1</f>
        <v>-0.0636943365384972</v>
      </c>
      <c r="L65" s="11" t="n">
        <f aca="false">F65/F64-1</f>
        <v>-0.069208305633455</v>
      </c>
      <c r="M65" s="11" t="n">
        <f aca="false">G65/G64-1</f>
        <v>-0.0723027956935665</v>
      </c>
      <c r="N65" s="11" t="n">
        <f aca="false">H65/H64-1</f>
        <v>-0.0299686312074181</v>
      </c>
      <c r="O65" s="11" t="n">
        <f aca="false">I65/I64-1</f>
        <v>-0.069208305633455</v>
      </c>
      <c r="P65" s="44" t="n">
        <f aca="false">C65/C$22*100</f>
        <v>58.9033018867925</v>
      </c>
      <c r="Q65" s="44" t="n">
        <f aca="false">I65/I$22*100</f>
        <v>60.9733460917953</v>
      </c>
    </row>
    <row r="66" customFormat="false" ht="15" hidden="false" customHeight="false" outlineLevel="0" collapsed="false">
      <c r="B66" s="0" t="s">
        <v>598</v>
      </c>
      <c r="C66" s="44" t="n">
        <v>92.8</v>
      </c>
      <c r="D66" s="30" t="n">
        <v>5.5416</v>
      </c>
      <c r="E66" s="44" t="n">
        <f aca="false">C66*D66</f>
        <v>514.26048</v>
      </c>
      <c r="F66" s="30" t="n">
        <v>58.727619047619</v>
      </c>
      <c r="G66" s="30" t="n">
        <v>11.8638095238095</v>
      </c>
      <c r="H66" s="30" t="n">
        <v>18.4419047619048</v>
      </c>
      <c r="I66" s="30" t="n">
        <f aca="false">CHOOSE(Painel!$Y$5,F66,G66,H66)</f>
        <v>58.727619047619</v>
      </c>
      <c r="J66" s="11" t="n">
        <f aca="false">C66/C65-1</f>
        <v>-0.0710710710710711</v>
      </c>
      <c r="K66" s="11" t="n">
        <f aca="false">E66/E65-1</f>
        <v>-0.0729113293677643</v>
      </c>
      <c r="L66" s="11" t="n">
        <f aca="false">F66/F65-1</f>
        <v>0.0164804329045198</v>
      </c>
      <c r="M66" s="11" t="n">
        <f aca="false">G66/G65-1</f>
        <v>0.00762000356641868</v>
      </c>
      <c r="N66" s="11" t="n">
        <f aca="false">H66/H65-1</f>
        <v>0.0377050098774994</v>
      </c>
      <c r="O66" s="11" t="n">
        <f aca="false">I66/I65-1</f>
        <v>0.0164804329045198</v>
      </c>
      <c r="P66" s="44" t="n">
        <f aca="false">C66/C$22*100</f>
        <v>54.7169811320755</v>
      </c>
      <c r="Q66" s="44" t="n">
        <f aca="false">I66/I$22*100</f>
        <v>61.9782132310252</v>
      </c>
    </row>
    <row r="67" customFormat="false" ht="15" hidden="false" customHeight="false" outlineLevel="0" collapsed="false">
      <c r="B67" s="0" t="s">
        <v>599</v>
      </c>
      <c r="C67" s="44" t="n">
        <v>101.4</v>
      </c>
      <c r="D67" s="30" t="n">
        <v>5.6241</v>
      </c>
      <c r="E67" s="44" t="n">
        <f aca="false">C67*D67</f>
        <v>570.28374</v>
      </c>
      <c r="F67" s="30" t="n">
        <v>61.7495652173913</v>
      </c>
      <c r="G67" s="30" t="n">
        <v>12.0421739130435</v>
      </c>
      <c r="H67" s="30" t="n">
        <v>18.5752173913044</v>
      </c>
      <c r="I67" s="30" t="n">
        <f aca="false">CHOOSE(Painel!$Y$5,F67,G67,H67)</f>
        <v>61.7495652173913</v>
      </c>
      <c r="J67" s="11" t="n">
        <f aca="false">C67/C66-1</f>
        <v>0.0926724137931037</v>
      </c>
      <c r="K67" s="11" t="n">
        <f aca="false">E67/E66-1</f>
        <v>0.108939461962934</v>
      </c>
      <c r="L67" s="11" t="n">
        <f aca="false">F67/F66-1</f>
        <v>0.0514569842738208</v>
      </c>
      <c r="M67" s="11" t="n">
        <f aca="false">G67/G66-1</f>
        <v>0.0150343267797752</v>
      </c>
      <c r="N67" s="11" t="n">
        <f aca="false">H67/H66-1</f>
        <v>0.00722878851836239</v>
      </c>
      <c r="O67" s="11" t="n">
        <f aca="false">I67/I66-1</f>
        <v>0.0514569842738208</v>
      </c>
      <c r="P67" s="44" t="n">
        <f aca="false">C67/C$22*100</f>
        <v>59.7877358490566</v>
      </c>
      <c r="Q67" s="44" t="n">
        <f aca="false">I67/I$22*100</f>
        <v>65.1674251745736</v>
      </c>
    </row>
    <row r="68" customFormat="false" ht="15" hidden="false" customHeight="false" outlineLevel="0" collapsed="false">
      <c r="B68" s="0" t="s">
        <v>600</v>
      </c>
      <c r="C68" s="44" t="n">
        <v>100.5</v>
      </c>
      <c r="D68" s="30" t="n">
        <v>5.8071</v>
      </c>
      <c r="E68" s="44" t="n">
        <f aca="false">C68*D68</f>
        <v>583.61355</v>
      </c>
      <c r="F68" s="30" t="n">
        <v>59.13</v>
      </c>
      <c r="G68" s="30" t="n">
        <v>11.4173684210526</v>
      </c>
      <c r="H68" s="30" t="n">
        <v>19.7642105263158</v>
      </c>
      <c r="I68" s="30" t="n">
        <f aca="false">CHOOSE(Painel!$Y$5,F68,G68,H68)</f>
        <v>59.13</v>
      </c>
      <c r="J68" s="11" t="n">
        <f aca="false">C68/C67-1</f>
        <v>-0.00887573964497046</v>
      </c>
      <c r="K68" s="11" t="n">
        <f aca="false">E68/E67-1</f>
        <v>0.0233739962496562</v>
      </c>
      <c r="L68" s="11" t="n">
        <f aca="false">F68/F67-1</f>
        <v>-0.0424224074804258</v>
      </c>
      <c r="M68" s="11" t="n">
        <f aca="false">G68/G67-1</f>
        <v>-0.0518847756644747</v>
      </c>
      <c r="N68" s="11" t="n">
        <f aca="false">H68/H67-1</f>
        <v>0.0640096484452475</v>
      </c>
      <c r="O68" s="11" t="n">
        <f aca="false">I68/I67-1</f>
        <v>-0.0424224074804258</v>
      </c>
      <c r="P68" s="44" t="n">
        <f aca="false">C68/C$22*100</f>
        <v>59.2570754716981</v>
      </c>
      <c r="Q68" s="44" t="n">
        <f aca="false">I68/I$22*100</f>
        <v>62.4028661093676</v>
      </c>
    </row>
    <row r="69" customFormat="false" ht="15" hidden="false" customHeight="false" outlineLevel="0" collapsed="false">
      <c r="B69" s="0" t="s">
        <v>601</v>
      </c>
      <c r="C69" s="44" t="n">
        <v>102.2</v>
      </c>
      <c r="D69" s="30" t="n">
        <v>6.097</v>
      </c>
      <c r="E69" s="44" t="n">
        <f aca="false">C69*D69</f>
        <v>623.1134</v>
      </c>
      <c r="F69" s="30" t="n">
        <v>56.5594736842105</v>
      </c>
      <c r="G69" s="30" t="n">
        <v>10.401052631579</v>
      </c>
      <c r="H69" s="30" t="n">
        <v>19.9989473684211</v>
      </c>
      <c r="I69" s="30" t="n">
        <f aca="false">CHOOSE(Painel!$Y$5,F69,G69,H69)</f>
        <v>56.5594736842105</v>
      </c>
      <c r="J69" s="11" t="n">
        <f aca="false">C69/C68-1</f>
        <v>0.0169154228855721</v>
      </c>
      <c r="K69" s="11" t="n">
        <f aca="false">E69/E68-1</f>
        <v>0.0676815163047535</v>
      </c>
      <c r="L69" s="11" t="n">
        <f aca="false">F69/F68-1</f>
        <v>-0.0434724558733211</v>
      </c>
      <c r="M69" s="11" t="n">
        <f aca="false">G69/G68-1</f>
        <v>-0.0890148895957218</v>
      </c>
      <c r="N69" s="11" t="n">
        <f aca="false">H69/H68-1</f>
        <v>0.0118768640818063</v>
      </c>
      <c r="O69" s="11" t="n">
        <f aca="false">I69/I68-1</f>
        <v>-0.0434724558733211</v>
      </c>
      <c r="P69" s="44" t="n">
        <f aca="false">C69/C$22*100</f>
        <v>60.2594339622642</v>
      </c>
      <c r="Q69" s="44" t="n">
        <f aca="false">I69/I$22*100</f>
        <v>59.6900602660594</v>
      </c>
    </row>
    <row r="70" customFormat="false" ht="15" hidden="false" customHeight="false" outlineLevel="0" collapsed="false">
      <c r="B70" s="0" t="s">
        <v>602</v>
      </c>
      <c r="C70" s="44" t="n">
        <v>99.6</v>
      </c>
      <c r="D70" s="30" t="n">
        <v>6.0218</v>
      </c>
      <c r="E70" s="44" t="n">
        <f aca="false">C70*D70</f>
        <v>599.77128</v>
      </c>
      <c r="F70" s="30" t="n">
        <v>52.9295454545455</v>
      </c>
      <c r="G70" s="30" t="n">
        <v>8.19409090909091</v>
      </c>
      <c r="H70" s="30" t="n">
        <v>17.4990909090909</v>
      </c>
      <c r="I70" s="30" t="n">
        <f aca="false">CHOOSE(Painel!$Y$5,F70,G70,H70)</f>
        <v>52.9295454545455</v>
      </c>
      <c r="J70" s="11" t="n">
        <f aca="false">C70/C69-1</f>
        <v>-0.025440313111546</v>
      </c>
      <c r="K70" s="11" t="n">
        <f aca="false">E70/E69-1</f>
        <v>-0.0374604686723157</v>
      </c>
      <c r="L70" s="11" t="n">
        <f aca="false">F70/F69-1</f>
        <v>-0.064178960538638</v>
      </c>
      <c r="M70" s="11" t="n">
        <f aca="false">G70/G69-1</f>
        <v>-0.212186381577132</v>
      </c>
      <c r="N70" s="11" t="n">
        <f aca="false">H70/H69-1</f>
        <v>-0.124999401882396</v>
      </c>
      <c r="O70" s="11" t="n">
        <f aca="false">I70/I69-1</f>
        <v>-0.064178960538638</v>
      </c>
      <c r="P70" s="44" t="n">
        <f aca="false">C70/C$22*100</f>
        <v>58.7264150943396</v>
      </c>
      <c r="Q70" s="44" t="n">
        <f aca="false">I70/I$22*100</f>
        <v>55.859214243695</v>
      </c>
    </row>
    <row r="71" customFormat="false" ht="15" hidden="false" customHeight="false" outlineLevel="0" collapsed="false">
      <c r="B71" s="0" t="s">
        <v>603</v>
      </c>
      <c r="C71" s="44" t="n">
        <v>105.1</v>
      </c>
      <c r="D71" s="30" t="n">
        <v>5.7656</v>
      </c>
      <c r="E71" s="44" t="n">
        <f aca="false">C71*D71</f>
        <v>605.96456</v>
      </c>
      <c r="F71" s="30" t="n">
        <v>55.6975</v>
      </c>
      <c r="G71" s="30" t="n">
        <v>8.7535</v>
      </c>
      <c r="H71" s="30" t="n">
        <v>17.027</v>
      </c>
      <c r="I71" s="30" t="n">
        <f aca="false">CHOOSE(Painel!$Y$5,F71,G71,H71)</f>
        <v>55.6975</v>
      </c>
      <c r="J71" s="11" t="n">
        <f aca="false">C71/C70-1</f>
        <v>0.0552208835341366</v>
      </c>
      <c r="K71" s="11" t="n">
        <f aca="false">E71/E70-1</f>
        <v>0.0103260696310767</v>
      </c>
      <c r="L71" s="11" t="n">
        <f aca="false">F71/F70-1</f>
        <v>0.0522950749280779</v>
      </c>
      <c r="M71" s="11" t="n">
        <f aca="false">G71/G70-1</f>
        <v>0.0682698174959779</v>
      </c>
      <c r="N71" s="11" t="n">
        <f aca="false">H71/H70-1</f>
        <v>-0.0269780248324588</v>
      </c>
      <c r="O71" s="11" t="n">
        <f aca="false">I71/I70-1</f>
        <v>0.0522950749280779</v>
      </c>
      <c r="P71" s="44" t="n">
        <f aca="false">C71/C$22*100</f>
        <v>61.9693396226415</v>
      </c>
      <c r="Q71" s="44" t="n">
        <f aca="false">I71/I$22*100</f>
        <v>58.7803760379926</v>
      </c>
    </row>
    <row r="72" customFormat="false" ht="15" hidden="false" customHeight="false" outlineLevel="0" collapsed="false">
      <c r="B72" s="0" t="s">
        <v>604</v>
      </c>
      <c r="C72" s="44" t="n">
        <v>100.1</v>
      </c>
      <c r="D72" s="30" t="n">
        <v>5.7468</v>
      </c>
      <c r="E72" s="44" t="n">
        <f aca="false">C72*D72</f>
        <v>575.25468</v>
      </c>
      <c r="F72" s="30" t="n">
        <v>56.4794736842105</v>
      </c>
      <c r="G72" s="30" t="n">
        <v>9.47578947368421</v>
      </c>
      <c r="H72" s="30" t="n">
        <v>16.9763157894737</v>
      </c>
      <c r="I72" s="30" t="n">
        <f aca="false">CHOOSE(Painel!$Y$5,F72,G72,H72)</f>
        <v>56.4794736842105</v>
      </c>
      <c r="J72" s="11" t="n">
        <f aca="false">C72/C71-1</f>
        <v>-0.0475737392959087</v>
      </c>
      <c r="K72" s="11" t="n">
        <f aca="false">E72/E71-1</f>
        <v>-0.0506793334580491</v>
      </c>
      <c r="L72" s="11" t="n">
        <f aca="false">F72/F71-1</f>
        <v>0.0140396549972712</v>
      </c>
      <c r="M72" s="11" t="n">
        <f aca="false">G72/G71-1</f>
        <v>0.0825143626759823</v>
      </c>
      <c r="N72" s="11" t="n">
        <f aca="false">H72/H71-1</f>
        <v>-0.00297669645423859</v>
      </c>
      <c r="O72" s="11" t="n">
        <f aca="false">I72/I71-1</f>
        <v>0.0140396549972712</v>
      </c>
      <c r="P72" s="44" t="n">
        <f aca="false">C72/C$22*100</f>
        <v>59.0212264150943</v>
      </c>
      <c r="Q72" s="44" t="n">
        <f aca="false">I72/I$22*100</f>
        <v>59.6056322381759</v>
      </c>
    </row>
    <row r="73" customFormat="false" ht="15" hidden="false" customHeight="false" outlineLevel="0" collapsed="false">
      <c r="B73" s="0" t="s">
        <v>605</v>
      </c>
      <c r="C73" s="44" t="n">
        <v>97.2</v>
      </c>
      <c r="D73" s="30" t="n">
        <v>5.7837</v>
      </c>
      <c r="E73" s="44" t="n">
        <f aca="false">C73*D73</f>
        <v>562.17564</v>
      </c>
      <c r="F73" s="30" t="n">
        <v>53.65</v>
      </c>
      <c r="G73" s="30" t="n">
        <v>8.8325</v>
      </c>
      <c r="H73" s="30" t="n">
        <v>15.1795</v>
      </c>
      <c r="I73" s="30" t="n">
        <f aca="false">CHOOSE(Painel!$Y$5,F73,G73,H73)</f>
        <v>53.65</v>
      </c>
      <c r="J73" s="11" t="n">
        <f aca="false">C73/C72-1</f>
        <v>-0.0289710289710289</v>
      </c>
      <c r="K73" s="11" t="n">
        <f aca="false">E73/E72-1</f>
        <v>-0.022736086214892</v>
      </c>
      <c r="L73" s="11" t="n">
        <f aca="false">F73/F72-1</f>
        <v>-0.0500973805108518</v>
      </c>
      <c r="M73" s="11" t="n">
        <f aca="false">G73/G72-1</f>
        <v>-0.0678876916240836</v>
      </c>
      <c r="N73" s="11" t="n">
        <f aca="false">H73/H72-1</f>
        <v>-0.105842505037978</v>
      </c>
      <c r="O73" s="11" t="n">
        <f aca="false">I73/I72-1</f>
        <v>-0.0500973805108518</v>
      </c>
      <c r="P73" s="44" t="n">
        <f aca="false">C73/C$22*100</f>
        <v>57.311320754717</v>
      </c>
      <c r="Q73" s="44" t="n">
        <f aca="false">I73/I$22*100</f>
        <v>56.6195461993501</v>
      </c>
    </row>
    <row r="74" customFormat="false" ht="15" hidden="false" customHeight="false" outlineLevel="0" collapsed="false">
      <c r="B74" s="0" t="s">
        <v>606</v>
      </c>
      <c r="C74" s="44" t="n">
        <v>97</v>
      </c>
      <c r="D74" s="30" t="n">
        <v>5.6674</v>
      </c>
      <c r="E74" s="44" t="n">
        <f aca="false">C74*D74</f>
        <v>549.7378</v>
      </c>
      <c r="F74" s="30" t="n">
        <v>53.9680952380952</v>
      </c>
      <c r="G74" s="30" t="n">
        <v>9.00904761904762</v>
      </c>
      <c r="H74" s="30" t="n">
        <v>15.3714285714286</v>
      </c>
      <c r="I74" s="30" t="n">
        <f aca="false">CHOOSE(Painel!$Y$5,F74,G74,H74)</f>
        <v>53.9680952380952</v>
      </c>
      <c r="J74" s="11" t="n">
        <f aca="false">C74/C73-1</f>
        <v>-0.00205761316872433</v>
      </c>
      <c r="K74" s="11" t="n">
        <f aca="false">E74/E73-1</f>
        <v>-0.0221244734119037</v>
      </c>
      <c r="L74" s="11" t="n">
        <f aca="false">F74/F73-1</f>
        <v>0.00592908179115081</v>
      </c>
      <c r="M74" s="11" t="n">
        <f aca="false">G74/G73-1</f>
        <v>0.0199884086099766</v>
      </c>
      <c r="N74" s="11" t="n">
        <f aca="false">H74/H73-1</f>
        <v>0.012643932371196</v>
      </c>
      <c r="O74" s="11" t="n">
        <f aca="false">I74/I73-1</f>
        <v>0.00592908179115081</v>
      </c>
      <c r="P74" s="44" t="n">
        <f aca="false">C74/C$22*100</f>
        <v>57.1933962264151</v>
      </c>
      <c r="Q74" s="44" t="n">
        <f aca="false">I74/I$22*100</f>
        <v>56.9552481197439</v>
      </c>
    </row>
    <row r="75" customFormat="false" ht="15" hidden="false" customHeight="false" outlineLevel="0" collapsed="false">
      <c r="B75" s="0" t="s">
        <v>607</v>
      </c>
      <c r="C75" s="44" t="n">
        <v>92.3</v>
      </c>
      <c r="D75" s="30" t="n">
        <v>5.5471</v>
      </c>
      <c r="E75" s="44" t="n">
        <f aca="false">C75*D75</f>
        <v>511.99733</v>
      </c>
      <c r="F75" s="30" t="n">
        <v>52.2225</v>
      </c>
      <c r="G75" s="30" t="n">
        <v>8.036</v>
      </c>
      <c r="H75" s="30" t="n">
        <v>16.492</v>
      </c>
      <c r="I75" s="30" t="n">
        <f aca="false">CHOOSE(Painel!$Y$5,F75,G75,H75)</f>
        <v>52.2225</v>
      </c>
      <c r="J75" s="11" t="n">
        <f aca="false">C75/C74-1</f>
        <v>-0.0484536082474227</v>
      </c>
      <c r="K75" s="11" t="n">
        <f aca="false">E75/E74-1</f>
        <v>-0.0686517645321096</v>
      </c>
      <c r="L75" s="11" t="n">
        <f aca="false">F75/F74-1</f>
        <v>-0.0323449480733767</v>
      </c>
      <c r="M75" s="11" t="n">
        <f aca="false">G75/G74-1</f>
        <v>-0.108007822823617</v>
      </c>
      <c r="N75" s="11" t="n">
        <f aca="false">H75/H74-1</f>
        <v>0.0728996282527883</v>
      </c>
      <c r="O75" s="11" t="n">
        <f aca="false">I75/I74-1</f>
        <v>-0.0323449480733767</v>
      </c>
      <c r="P75" s="44" t="n">
        <f aca="false">C75/C$22*100</f>
        <v>54.4221698113208</v>
      </c>
      <c r="Q75" s="44" t="n">
        <f aca="false">I75/I$22*100</f>
        <v>55.1130335768045</v>
      </c>
    </row>
    <row r="76" customFormat="false" ht="15" hidden="false" customHeight="false" outlineLevel="0" collapsed="false">
      <c r="B76" s="0" t="s">
        <v>608</v>
      </c>
      <c r="C76" s="44" t="n">
        <v>97.3</v>
      </c>
      <c r="D76" s="30" t="n">
        <v>5.5285</v>
      </c>
      <c r="E76" s="44" t="n">
        <f aca="false">C76*D76</f>
        <v>537.92305</v>
      </c>
      <c r="F76" s="30" t="n">
        <v>55.0521739130435</v>
      </c>
      <c r="G76" s="30" t="n">
        <v>8.12652173913044</v>
      </c>
      <c r="H76" s="30" t="n">
        <v>16.7308695652174</v>
      </c>
      <c r="I76" s="30" t="n">
        <f aca="false">CHOOSE(Painel!$Y$5,F76,G76,H76)</f>
        <v>55.0521739130435</v>
      </c>
      <c r="J76" s="11" t="n">
        <f aca="false">C76/C75-1</f>
        <v>0.0541711809317442</v>
      </c>
      <c r="K76" s="11" t="n">
        <f aca="false">E76/E75-1</f>
        <v>0.0506364359361013</v>
      </c>
      <c r="L76" s="11" t="n">
        <f aca="false">F76/F75-1</f>
        <v>0.0541849569255299</v>
      </c>
      <c r="M76" s="11" t="n">
        <f aca="false">G76/G75-1</f>
        <v>0.0112645270197158</v>
      </c>
      <c r="N76" s="11" t="n">
        <f aca="false">H76/H75-1</f>
        <v>0.0144839658754177</v>
      </c>
      <c r="O76" s="11" t="n">
        <f aca="false">I76/I75-1</f>
        <v>0.0541849569255299</v>
      </c>
      <c r="P76" s="44" t="n">
        <f aca="false">C76/C$22*100</f>
        <v>57.3702830188679</v>
      </c>
      <c r="Q76" s="44" t="n">
        <f aca="false">I76/I$22*100</f>
        <v>58.0993309271989</v>
      </c>
    </row>
    <row r="77" customFormat="false" ht="15" hidden="false" customHeight="false" outlineLevel="0" collapsed="false">
      <c r="B77" s="0" t="s">
        <v>609</v>
      </c>
      <c r="C77" s="44" t="n">
        <v>99.7</v>
      </c>
      <c r="D77" s="30" t="n">
        <v>5.4469</v>
      </c>
      <c r="E77" s="44" t="n">
        <f aca="false">C77*D77</f>
        <v>543.05593</v>
      </c>
      <c r="F77" s="30" t="n">
        <v>54.3680952380952</v>
      </c>
      <c r="G77" s="30" t="n">
        <v>7.24333333333333</v>
      </c>
      <c r="H77" s="30" t="n">
        <v>16.3580952380952</v>
      </c>
      <c r="I77" s="30" t="n">
        <f aca="false">CHOOSE(Painel!$Y$5,F77,G77,H77)</f>
        <v>54.3680952380952</v>
      </c>
      <c r="J77" s="11" t="n">
        <f aca="false">C77/C76-1</f>
        <v>0.0246659815005139</v>
      </c>
      <c r="K77" s="11" t="n">
        <f aca="false">E77/E76-1</f>
        <v>0.00954203393961284</v>
      </c>
      <c r="L77" s="11" t="n">
        <f aca="false">F77/F76-1</f>
        <v>-0.0124260065738505</v>
      </c>
      <c r="M77" s="11" t="n">
        <f aca="false">G77/G76-1</f>
        <v>-0.108679756745671</v>
      </c>
      <c r="N77" s="11" t="n">
        <f aca="false">H77/H76-1</f>
        <v>-0.0222806307627387</v>
      </c>
      <c r="O77" s="11" t="n">
        <f aca="false">I77/I76-1</f>
        <v>-0.0124260065738505</v>
      </c>
      <c r="P77" s="44" t="n">
        <f aca="false">C77/C$22*100</f>
        <v>58.7853773584906</v>
      </c>
      <c r="Q77" s="44" t="n">
        <f aca="false">I77/I$22*100</f>
        <v>57.3773882591613</v>
      </c>
    </row>
    <row r="78" customFormat="false" ht="15" hidden="false" customHeight="false" outlineLevel="0" collapsed="false">
      <c r="B78" s="0" t="s">
        <v>610</v>
      </c>
      <c r="C78" s="44" t="n">
        <v>103.3</v>
      </c>
      <c r="D78" s="30" t="n">
        <v>5.3674</v>
      </c>
      <c r="E78" s="44" t="n">
        <f aca="false">C78*D78</f>
        <v>554.45242</v>
      </c>
      <c r="F78" s="30" t="n">
        <v>57</v>
      </c>
      <c r="G78" s="30" t="n">
        <v>7.85</v>
      </c>
      <c r="H78" s="30" t="n">
        <v>16.8440909090909</v>
      </c>
      <c r="I78" s="30" t="n">
        <f aca="false">CHOOSE(Painel!$Y$5,F78,G78,H78)</f>
        <v>57</v>
      </c>
      <c r="J78" s="11" t="n">
        <f aca="false">C78/C77-1</f>
        <v>0.0361083249749248</v>
      </c>
      <c r="K78" s="11" t="n">
        <f aca="false">E78/E77-1</f>
        <v>0.0209858494685804</v>
      </c>
      <c r="L78" s="11" t="n">
        <f aca="false">F78/F77-1</f>
        <v>0.0484089933697107</v>
      </c>
      <c r="M78" s="11" t="n">
        <f aca="false">G78/G77-1</f>
        <v>0.0837551771744132</v>
      </c>
      <c r="N78" s="11" t="n">
        <f aca="false">H78/H77-1</f>
        <v>0.0297097959097261</v>
      </c>
      <c r="O78" s="11" t="n">
        <f aca="false">I78/I77-1</f>
        <v>0.0484089933697107</v>
      </c>
      <c r="P78" s="44" t="n">
        <f aca="false">C78/C$22*100</f>
        <v>60.9080188679245</v>
      </c>
      <c r="Q78" s="44" t="n">
        <f aca="false">I78/I$22*100</f>
        <v>60.1549698669703</v>
      </c>
    </row>
    <row r="79" customFormat="false" ht="15" hidden="false" customHeight="false" outlineLevel="0" collapsed="false">
      <c r="B79" s="0" t="s">
        <v>611</v>
      </c>
      <c r="C79" s="44" t="n">
        <v>103.5</v>
      </c>
      <c r="D79" s="30" t="n">
        <v>5.3855</v>
      </c>
      <c r="E79" s="44" t="n">
        <f aca="false">C79*D79</f>
        <v>557.39925</v>
      </c>
      <c r="F79" s="30" t="n">
        <v>60.6626086956522</v>
      </c>
      <c r="G79" s="30" t="n">
        <v>8.61</v>
      </c>
      <c r="H79" s="30" t="n">
        <v>17.9208695652174</v>
      </c>
      <c r="I79" s="30" t="n">
        <f aca="false">CHOOSE(Painel!$Y$5,F79,G79,H79)</f>
        <v>60.6626086956522</v>
      </c>
      <c r="J79" s="11" t="n">
        <f aca="false">C79/C78-1</f>
        <v>0.0019361084220717</v>
      </c>
      <c r="K79" s="11" t="n">
        <f aca="false">E79/E78-1</f>
        <v>0.00531484739484056</v>
      </c>
      <c r="L79" s="11" t="n">
        <f aca="false">F79/F78-1</f>
        <v>0.0642562929061783</v>
      </c>
      <c r="M79" s="11" t="n">
        <f aca="false">G79/G78-1</f>
        <v>0.0968152866242038</v>
      </c>
      <c r="N79" s="11" t="n">
        <f aca="false">H79/H78-1</f>
        <v>0.0639261959542936</v>
      </c>
      <c r="O79" s="11" t="n">
        <f aca="false">I79/I78-1</f>
        <v>0.0642562929061783</v>
      </c>
      <c r="P79" s="44" t="n">
        <f aca="false">C79/C$22*100</f>
        <v>61.0259433962264</v>
      </c>
      <c r="Q79" s="44" t="n">
        <f aca="false">I79/I$22*100</f>
        <v>64.0203052305047</v>
      </c>
    </row>
    <row r="80" customFormat="false" ht="15" hidden="false" customHeight="false" outlineLevel="0" collapsed="false">
      <c r="B80" s="0" t="s">
        <v>612</v>
      </c>
      <c r="C80" s="44" t="n">
        <v>102.5</v>
      </c>
      <c r="D80" s="30" t="n">
        <v>5.3409</v>
      </c>
      <c r="E80" s="44" t="n">
        <f aca="false">C80*D80</f>
        <v>547.44225</v>
      </c>
      <c r="F80" s="30" t="n">
        <v>65.4884210526316</v>
      </c>
      <c r="G80" s="30" t="n">
        <v>8.48789473684211</v>
      </c>
      <c r="H80" s="30" t="n">
        <v>18.8526315789474</v>
      </c>
      <c r="I80" s="30" t="n">
        <f aca="false">CHOOSE(Painel!$Y$5,F80,G80,H80)</f>
        <v>65.4884210526316</v>
      </c>
      <c r="J80" s="11" t="n">
        <f aca="false">C80/C79-1</f>
        <v>-0.00966183574879231</v>
      </c>
      <c r="K80" s="11" t="n">
        <f aca="false">E80/E79-1</f>
        <v>-0.017863317900051</v>
      </c>
      <c r="L80" s="11" t="n">
        <f aca="false">F80/F79-1</f>
        <v>0.0795516787151505</v>
      </c>
      <c r="M80" s="11" t="n">
        <f aca="false">G80/G79-1</f>
        <v>-0.0141817959532977</v>
      </c>
      <c r="N80" s="11" t="n">
        <f aca="false">H80/H79-1</f>
        <v>0.0519931251292871</v>
      </c>
      <c r="O80" s="11" t="n">
        <f aca="false">I80/I79-1</f>
        <v>0.0795516787151505</v>
      </c>
      <c r="P80" s="44" t="n">
        <f aca="false">C80/C$22*100</f>
        <v>60.436320754717</v>
      </c>
      <c r="Q80" s="44" t="n">
        <f aca="false">I80/I$22*100</f>
        <v>69.1132279834477</v>
      </c>
    </row>
    <row r="81" customFormat="false" ht="15" hidden="false" customHeight="false" outlineLevel="0" collapsed="false">
      <c r="B81" s="0" t="s">
        <v>613</v>
      </c>
      <c r="C81" s="44" t="n">
        <v>104.6</v>
      </c>
      <c r="D81" s="30" t="n">
        <v>5.4531</v>
      </c>
      <c r="E81" s="44" t="n">
        <f aca="false">C81*D81</f>
        <v>570.39426</v>
      </c>
      <c r="F81" s="30" t="n">
        <v>70.6565</v>
      </c>
      <c r="G81" s="30" t="n">
        <v>9.216</v>
      </c>
      <c r="H81" s="30" t="n">
        <v>19.961</v>
      </c>
      <c r="I81" s="30" t="n">
        <f aca="false">CHOOSE(Painel!$Y$5,F81,G81,H81)</f>
        <v>70.6565</v>
      </c>
      <c r="J81" s="11" t="n">
        <f aca="false">C81/C80-1</f>
        <v>0.0204878048780488</v>
      </c>
      <c r="K81" s="11" t="n">
        <f aca="false">E81/E80-1</f>
        <v>0.0419259017732008</v>
      </c>
      <c r="L81" s="11" t="n">
        <f aca="false">F81/F80-1</f>
        <v>0.0789159192464719</v>
      </c>
      <c r="M81" s="11" t="n">
        <f aca="false">G81/G80-1</f>
        <v>0.0857816084826686</v>
      </c>
      <c r="N81" s="11" t="n">
        <f aca="false">H81/H80-1</f>
        <v>0.0587911781127859</v>
      </c>
      <c r="O81" s="11" t="n">
        <f aca="false">I81/I80-1</f>
        <v>0.0789159192464719</v>
      </c>
      <c r="P81" s="44" t="n">
        <f aca="false">C81/C$22*100</f>
        <v>61.6745283018868</v>
      </c>
      <c r="Q81" s="44" t="n">
        <f aca="false">I81/I$22*100</f>
        <v>74.5673619018524</v>
      </c>
    </row>
    <row r="82" customFormat="false" ht="15" hidden="false" customHeight="false" outlineLevel="0" collapsed="false">
      <c r="B82" s="0" t="s">
        <v>614</v>
      </c>
      <c r="C82" s="44" t="n">
        <v>105.5</v>
      </c>
      <c r="D82" s="30" t="n">
        <v>5.338</v>
      </c>
      <c r="E82" s="44" t="n">
        <f aca="false">C82*D82</f>
        <v>563.159</v>
      </c>
      <c r="F82" s="30" t="n">
        <v>79.55</v>
      </c>
      <c r="G82" s="30" t="n">
        <v>9.79142857142857</v>
      </c>
      <c r="H82" s="30" t="n">
        <v>22.0690476190476</v>
      </c>
      <c r="I82" s="30" t="n">
        <f aca="false">CHOOSE(Painel!$Y$5,F82,G82,H82)</f>
        <v>79.55</v>
      </c>
      <c r="J82" s="11" t="n">
        <f aca="false">C82/C81-1</f>
        <v>0.00860420650095617</v>
      </c>
      <c r="K82" s="11" t="n">
        <f aca="false">E82/E81-1</f>
        <v>-0.0126846648141236</v>
      </c>
      <c r="L82" s="11" t="n">
        <f aca="false">F82/F81-1</f>
        <v>0.125869523681473</v>
      </c>
      <c r="M82" s="11" t="n">
        <f aca="false">G82/G81-1</f>
        <v>0.062437996031746</v>
      </c>
      <c r="N82" s="11" t="n">
        <f aca="false">H82/H81-1</f>
        <v>0.105608317170864</v>
      </c>
      <c r="O82" s="11" t="n">
        <f aca="false">I82/I81-1</f>
        <v>0.125869523681473</v>
      </c>
      <c r="P82" s="44" t="n">
        <f aca="false">C82/C$22*100</f>
        <v>62.2051886792453</v>
      </c>
      <c r="Q82" s="44" t="n">
        <f aca="false">I82/I$22*100</f>
        <v>83.9531202266226</v>
      </c>
    </row>
    <row r="83" customFormat="false" ht="15" hidden="false" customHeight="false" outlineLevel="0" collapsed="false">
      <c r="B83" s="0" t="s">
        <v>615</v>
      </c>
      <c r="C83" s="44" t="n">
        <v>98.8</v>
      </c>
      <c r="D83" s="30" t="n">
        <v>5.2006</v>
      </c>
      <c r="E83" s="44" t="n">
        <f aca="false">C83*D83</f>
        <v>513.81928</v>
      </c>
      <c r="F83" s="30" t="n">
        <v>87.4233333333333</v>
      </c>
      <c r="G83" s="30" t="n">
        <v>9.16333333333333</v>
      </c>
      <c r="H83" s="30" t="n">
        <v>21.8833333333333</v>
      </c>
      <c r="I83" s="30" t="n">
        <f aca="false">CHOOSE(Painel!$Y$5,F83,G83,H83)</f>
        <v>87.4233333333333</v>
      </c>
      <c r="J83" s="11" t="n">
        <f aca="false">C83/C82-1</f>
        <v>-0.0635071090047393</v>
      </c>
      <c r="K83" s="11" t="n">
        <f aca="false">E83/E82-1</f>
        <v>-0.0876124149662885</v>
      </c>
      <c r="L83" s="11" t="n">
        <f aca="false">F83/F82-1</f>
        <v>0.0989733919966478</v>
      </c>
      <c r="M83" s="11" t="n">
        <f aca="false">G83/G82-1</f>
        <v>-0.0641474564731057</v>
      </c>
      <c r="N83" s="11" t="n">
        <f aca="false">H83/H82-1</f>
        <v>-0.00841514726507731</v>
      </c>
      <c r="O83" s="11" t="n">
        <f aca="false">I83/I82-1</f>
        <v>0.0989733919966478</v>
      </c>
      <c r="P83" s="44" t="n">
        <f aca="false">C83/C$22*100</f>
        <v>58.2547169811321</v>
      </c>
      <c r="Q83" s="44" t="n">
        <f aca="false">I83/I$22*100</f>
        <v>92.2622453041538</v>
      </c>
    </row>
    <row r="84" customFormat="false" ht="15" hidden="false" customHeight="false" outlineLevel="0" collapsed="false">
      <c r="B84" s="0" t="s">
        <v>616</v>
      </c>
      <c r="C84" s="44" t="n">
        <v>104.5</v>
      </c>
      <c r="D84" s="30" t="n">
        <v>5.2316</v>
      </c>
      <c r="E84" s="44" t="n">
        <f aca="false">C84*D84</f>
        <v>546.7022</v>
      </c>
      <c r="F84" s="30" t="n">
        <v>79.8286363636364</v>
      </c>
      <c r="G84" s="30" t="n">
        <v>6.71590909090909</v>
      </c>
      <c r="H84" s="30" t="n">
        <v>18.5031818181818</v>
      </c>
      <c r="I84" s="30" t="n">
        <f aca="false">CHOOSE(Painel!$Y$5,F84,G84,H84)</f>
        <v>79.8286363636364</v>
      </c>
      <c r="J84" s="11" t="n">
        <f aca="false">C84/C83-1</f>
        <v>0.0576923076923077</v>
      </c>
      <c r="K84" s="11" t="n">
        <f aca="false">E84/E83-1</f>
        <v>0.0639970535944081</v>
      </c>
      <c r="L84" s="11" t="n">
        <f aca="false">F84/F83-1</f>
        <v>-0.0868726537884276</v>
      </c>
      <c r="M84" s="11" t="n">
        <f aca="false">G84/G83-1</f>
        <v>-0.267088858758557</v>
      </c>
      <c r="N84" s="11" t="n">
        <f aca="false">H84/H83-1</f>
        <v>-0.154462369313854</v>
      </c>
      <c r="O84" s="11" t="n">
        <f aca="false">I84/I83-1</f>
        <v>-0.0868726537884276</v>
      </c>
      <c r="P84" s="44" t="n">
        <f aca="false">C84/C$22*100</f>
        <v>61.6155660377358</v>
      </c>
      <c r="Q84" s="44" t="n">
        <f aca="false">I84/I$22*100</f>
        <v>84.2471792101031</v>
      </c>
    </row>
    <row r="85" customFormat="false" ht="15" hidden="false" customHeight="false" outlineLevel="0" collapsed="false">
      <c r="B85" s="0" t="s">
        <v>617</v>
      </c>
      <c r="C85" s="44" t="n">
        <v>106.1</v>
      </c>
      <c r="D85" s="30" t="n">
        <v>5.0331</v>
      </c>
      <c r="E85" s="44" t="n">
        <f aca="false">C85*D85</f>
        <v>534.01191</v>
      </c>
      <c r="F85" s="30" t="n">
        <v>85.4395</v>
      </c>
      <c r="G85" s="30" t="n">
        <v>6.5195</v>
      </c>
      <c r="H85" s="30" t="n">
        <v>21.27</v>
      </c>
      <c r="I85" s="30" t="n">
        <f aca="false">CHOOSE(Painel!$Y$5,F85,G85,H85)</f>
        <v>85.4395</v>
      </c>
      <c r="J85" s="11" t="n">
        <f aca="false">C85/C84-1</f>
        <v>0.0153110047846889</v>
      </c>
      <c r="K85" s="11" t="n">
        <f aca="false">E85/E84-1</f>
        <v>-0.023212436313591</v>
      </c>
      <c r="L85" s="11" t="n">
        <f aca="false">F85/F84-1</f>
        <v>0.0702863520153965</v>
      </c>
      <c r="M85" s="11" t="n">
        <f aca="false">G85/G84-1</f>
        <v>-0.0292453468697125</v>
      </c>
      <c r="N85" s="11" t="n">
        <f aca="false">H85/H84-1</f>
        <v>0.14953202151964</v>
      </c>
      <c r="O85" s="11" t="n">
        <f aca="false">I85/I84-1</f>
        <v>0.0702863520153965</v>
      </c>
      <c r="P85" s="44" t="n">
        <f aca="false">C85/C$22*100</f>
        <v>62.5589622641509</v>
      </c>
      <c r="Q85" s="44" t="n">
        <f aca="false">I85/I$22*100</f>
        <v>90.1686061043686</v>
      </c>
    </row>
    <row r="86" customFormat="false" ht="15" hidden="false" customHeight="false" outlineLevel="0" collapsed="false">
      <c r="B86" s="0" t="s">
        <v>618</v>
      </c>
      <c r="C86" s="44" t="n">
        <v>108.6</v>
      </c>
      <c r="D86" s="30" t="n">
        <v>4.9837</v>
      </c>
      <c r="E86" s="44" t="n">
        <f aca="false">C86*D86</f>
        <v>541.22982</v>
      </c>
      <c r="F86" s="30" t="n">
        <v>82.234</v>
      </c>
      <c r="G86" s="30" t="n">
        <v>6.486</v>
      </c>
      <c r="H86" s="30" t="n">
        <v>23.56</v>
      </c>
      <c r="I86" s="30" t="n">
        <f aca="false">CHOOSE(Painel!$Y$5,F86,G86,H86)</f>
        <v>82.234</v>
      </c>
      <c r="J86" s="11" t="n">
        <f aca="false">C86/C85-1</f>
        <v>0.0235626767200754</v>
      </c>
      <c r="K86" s="11" t="n">
        <f aca="false">E86/E85-1</f>
        <v>0.0135163839323358</v>
      </c>
      <c r="L86" s="11" t="n">
        <f aca="false">F86/F85-1</f>
        <v>-0.037517775736047</v>
      </c>
      <c r="M86" s="11" t="n">
        <f aca="false">G86/G85-1</f>
        <v>-0.0051384308612622</v>
      </c>
      <c r="N86" s="11" t="n">
        <f aca="false">H86/H85-1</f>
        <v>0.10766337564645</v>
      </c>
      <c r="O86" s="11" t="n">
        <f aca="false">I86/I85-1</f>
        <v>-0.037517775736047</v>
      </c>
      <c r="P86" s="44" t="n">
        <f aca="false">C86/C$22*100</f>
        <v>64.0330188679245</v>
      </c>
      <c r="Q86" s="44" t="n">
        <f aca="false">I86/I$22*100</f>
        <v>86.7856805621129</v>
      </c>
    </row>
    <row r="87" customFormat="false" ht="15" hidden="false" customHeight="false" outlineLevel="0" collapsed="false">
      <c r="B87" s="0" t="s">
        <v>619</v>
      </c>
      <c r="C87" s="44" t="n">
        <v>100.8</v>
      </c>
      <c r="D87" s="30" t="n">
        <v>5.1276</v>
      </c>
      <c r="E87" s="44" t="n">
        <f aca="false">C87*D87</f>
        <v>516.86208</v>
      </c>
      <c r="F87" s="30" t="n">
        <v>79.6828571428572</v>
      </c>
      <c r="G87" s="30" t="n">
        <v>5.67095238095238</v>
      </c>
      <c r="H87" s="30" t="n">
        <v>22.6838095238095</v>
      </c>
      <c r="I87" s="30" t="n">
        <f aca="false">CHOOSE(Painel!$Y$5,F87,G87,H87)</f>
        <v>79.6828571428572</v>
      </c>
      <c r="J87" s="11" t="n">
        <f aca="false">C87/C86-1</f>
        <v>-0.0718232044198894</v>
      </c>
      <c r="K87" s="11" t="n">
        <f aca="false">E87/E86-1</f>
        <v>-0.0450229072743995</v>
      </c>
      <c r="L87" s="11" t="n">
        <f aca="false">F87/F86-1</f>
        <v>-0.0310229692966761</v>
      </c>
      <c r="M87" s="11" t="n">
        <f aca="false">G87/G86-1</f>
        <v>-0.125662599298122</v>
      </c>
      <c r="N87" s="11" t="n">
        <f aca="false">H87/H86-1</f>
        <v>-0.0371897485649605</v>
      </c>
      <c r="O87" s="11" t="n">
        <f aca="false">I87/I86-1</f>
        <v>-0.0310229692966761</v>
      </c>
      <c r="P87" s="44" t="n">
        <f aca="false">C87/C$22*100</f>
        <v>59.4339622641509</v>
      </c>
      <c r="Q87" s="44" t="n">
        <f aca="false">I87/I$22*100</f>
        <v>84.0933310586434</v>
      </c>
    </row>
    <row r="88" customFormat="false" ht="15" hidden="false" customHeight="false" outlineLevel="0" collapsed="false">
      <c r="B88" s="0" t="s">
        <v>620</v>
      </c>
      <c r="C88" s="44" t="n">
        <v>98.2</v>
      </c>
      <c r="D88" s="30" t="n">
        <v>5.1139</v>
      </c>
      <c r="E88" s="44" t="n">
        <f aca="false">C88*D88</f>
        <v>502.18498</v>
      </c>
      <c r="F88" s="30" t="n">
        <v>75.0152173913044</v>
      </c>
      <c r="G88" s="30" t="n">
        <v>5.06608695652174</v>
      </c>
      <c r="H88" s="30" t="n">
        <v>23.3456521739131</v>
      </c>
      <c r="I88" s="30" t="n">
        <f aca="false">CHOOSE(Painel!$Y$5,F88,G88,H88)</f>
        <v>75.0152173913044</v>
      </c>
      <c r="J88" s="11" t="n">
        <f aca="false">C88/C87-1</f>
        <v>-0.0257936507936507</v>
      </c>
      <c r="K88" s="11" t="n">
        <f aca="false">E88/E87-1</f>
        <v>-0.0283965501976852</v>
      </c>
      <c r="L88" s="11" t="n">
        <f aca="false">F88/F87-1</f>
        <v>-0.0585777156959187</v>
      </c>
      <c r="M88" s="11" t="n">
        <f aca="false">G88/G87-1</f>
        <v>-0.106660289806394</v>
      </c>
      <c r="N88" s="11" t="n">
        <f aca="false">H88/H87-1</f>
        <v>0.0291768739024558</v>
      </c>
      <c r="O88" s="11" t="n">
        <f aca="false">I88/I87-1</f>
        <v>-0.0585777156959187</v>
      </c>
      <c r="P88" s="44" t="n">
        <f aca="false">C88/C$22*100</f>
        <v>57.9009433962264</v>
      </c>
      <c r="Q88" s="44" t="n">
        <f aca="false">I88/I$22*100</f>
        <v>79.1673358199674</v>
      </c>
    </row>
    <row r="89" customFormat="false" ht="15" hidden="false" customHeight="false" outlineLevel="0" collapsed="false">
      <c r="B89" s="0" t="s">
        <v>621</v>
      </c>
      <c r="C89" s="44" t="n">
        <v>96.3</v>
      </c>
      <c r="D89" s="30" t="n">
        <v>5.1532</v>
      </c>
      <c r="E89" s="44" t="n">
        <f aca="false">C89*D89</f>
        <v>496.25316</v>
      </c>
      <c r="F89" s="30" t="n">
        <v>75.1733333333333</v>
      </c>
      <c r="G89" s="30" t="n">
        <v>4.75238095238095</v>
      </c>
      <c r="H89" s="30" t="n">
        <v>24.1638095238095</v>
      </c>
      <c r="I89" s="30" t="n">
        <f aca="false">CHOOSE(Painel!$Y$5,F89,G89,H89)</f>
        <v>75.1733333333333</v>
      </c>
      <c r="J89" s="11" t="n">
        <f aca="false">C89/C88-1</f>
        <v>-0.0193482688391039</v>
      </c>
      <c r="K89" s="11" t="n">
        <f aca="false">E89/E88-1</f>
        <v>-0.011812021936618</v>
      </c>
      <c r="L89" s="11" t="n">
        <f aca="false">F89/F88-1</f>
        <v>0.00210778489388619</v>
      </c>
      <c r="M89" s="11" t="n">
        <f aca="false">G89/G88-1</f>
        <v>-0.0619227436941133</v>
      </c>
      <c r="N89" s="11" t="n">
        <f aca="false">H89/H88-1</f>
        <v>0.035045384202661</v>
      </c>
      <c r="O89" s="11" t="n">
        <f aca="false">I89/I88-1</f>
        <v>0.00210778489388619</v>
      </c>
      <c r="P89" s="44" t="n">
        <f aca="false">C89/C$22*100</f>
        <v>56.7806603773585</v>
      </c>
      <c r="Q89" s="44" t="n">
        <f aca="false">I89/I$22*100</f>
        <v>79.3342035344979</v>
      </c>
    </row>
    <row r="90" customFormat="false" ht="15" hidden="false" customHeight="false" outlineLevel="0" collapsed="false">
      <c r="B90" s="0" t="s">
        <v>622</v>
      </c>
      <c r="C90" s="44" t="n">
        <v>97.7</v>
      </c>
      <c r="D90" s="30" t="n">
        <v>5.1447</v>
      </c>
      <c r="E90" s="44" t="n">
        <f aca="false">C90*D90</f>
        <v>502.63719</v>
      </c>
      <c r="F90" s="30" t="n">
        <v>74.7928571428571</v>
      </c>
      <c r="G90" s="30" t="n">
        <v>6.22571428571429</v>
      </c>
      <c r="H90" s="30" t="n">
        <v>25.2757142857143</v>
      </c>
      <c r="I90" s="30" t="n">
        <f aca="false">CHOOSE(Painel!$Y$5,F90,G90,H90)</f>
        <v>74.7928571428571</v>
      </c>
      <c r="J90" s="11" t="n">
        <f aca="false">C90/C89-1</f>
        <v>0.0145379023883698</v>
      </c>
      <c r="K90" s="11" t="n">
        <f aca="false">E90/E89-1</f>
        <v>0.0128644621628204</v>
      </c>
      <c r="L90" s="11" t="n">
        <f aca="false">F90/F89-1</f>
        <v>-0.00506131860335479</v>
      </c>
      <c r="M90" s="11" t="n">
        <f aca="false">G90/G89-1</f>
        <v>0.310020040080161</v>
      </c>
      <c r="N90" s="11" t="n">
        <f aca="false">H90/H89-1</f>
        <v>0.0460152924483683</v>
      </c>
      <c r="O90" s="11" t="n">
        <f aca="false">I90/I89-1</f>
        <v>-0.00506131860335479</v>
      </c>
      <c r="P90" s="44" t="n">
        <f aca="false">C90/C$22*100</f>
        <v>57.6061320754717</v>
      </c>
      <c r="Q90" s="44" t="n">
        <f aca="false">I90/I$22*100</f>
        <v>78.9326678542664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62"/>
    <col collapsed="false" customWidth="true" hidden="false" outlineLevel="0" max="5" min="5" style="0" width="18"/>
  </cols>
  <sheetData>
    <row r="1" customFormat="false" ht="17.35" hidden="false" customHeight="false" outlineLevel="0" collapsed="false">
      <c r="B1" s="1" t="s">
        <v>623</v>
      </c>
    </row>
    <row r="2" customFormat="false" ht="15" hidden="false" customHeight="false" outlineLevel="0" collapsed="false">
      <c r="B2" s="2" t="s">
        <v>624</v>
      </c>
    </row>
    <row r="4" customFormat="false" ht="15" hidden="false" customHeight="false" outlineLevel="0" collapsed="false">
      <c r="B4" s="13" t="s">
        <v>625</v>
      </c>
      <c r="C4" s="13" t="s">
        <v>23</v>
      </c>
      <c r="D4" s="13" t="s">
        <v>251</v>
      </c>
      <c r="E4" s="13" t="s">
        <v>39</v>
      </c>
    </row>
    <row r="5" customFormat="false" ht="31.5" hidden="false" customHeight="true" outlineLevel="0" collapsed="false">
      <c r="B5" s="45" t="s">
        <v>119</v>
      </c>
      <c r="C5" s="46" t="s">
        <v>626</v>
      </c>
      <c r="D5" s="46" t="s">
        <v>627</v>
      </c>
      <c r="E5" s="46" t="s">
        <v>628</v>
      </c>
    </row>
    <row r="6" customFormat="false" ht="31.5" hidden="false" customHeight="true" outlineLevel="0" collapsed="false">
      <c r="B6" s="45" t="s">
        <v>266</v>
      </c>
      <c r="C6" s="46" t="s">
        <v>629</v>
      </c>
      <c r="D6" s="46" t="s">
        <v>630</v>
      </c>
      <c r="E6" s="46" t="s">
        <v>628</v>
      </c>
    </row>
    <row r="7" customFormat="false" ht="31.5" hidden="false" customHeight="true" outlineLevel="0" collapsed="false">
      <c r="B7" s="45" t="s">
        <v>262</v>
      </c>
      <c r="C7" s="46" t="s">
        <v>631</v>
      </c>
      <c r="D7" s="46" t="s">
        <v>632</v>
      </c>
      <c r="E7" s="46" t="s">
        <v>628</v>
      </c>
    </row>
    <row r="8" customFormat="false" ht="31.5" hidden="false" customHeight="true" outlineLevel="0" collapsed="false">
      <c r="B8" s="45" t="s">
        <v>203</v>
      </c>
      <c r="C8" s="46" t="s">
        <v>633</v>
      </c>
      <c r="D8" s="46" t="s">
        <v>634</v>
      </c>
      <c r="E8" s="46" t="s">
        <v>628</v>
      </c>
    </row>
    <row r="9" customFormat="false" ht="31.5" hidden="false" customHeight="true" outlineLevel="0" collapsed="false">
      <c r="B9" s="45" t="s">
        <v>635</v>
      </c>
      <c r="C9" s="46" t="s">
        <v>636</v>
      </c>
      <c r="D9" s="46" t="s">
        <v>637</v>
      </c>
      <c r="E9" s="46" t="s">
        <v>638</v>
      </c>
    </row>
    <row r="10" customFormat="false" ht="31.5" hidden="false" customHeight="true" outlineLevel="0" collapsed="false">
      <c r="B10" s="45" t="s">
        <v>639</v>
      </c>
      <c r="C10" s="46" t="s">
        <v>640</v>
      </c>
      <c r="D10" s="46" t="s">
        <v>641</v>
      </c>
      <c r="E10" s="46" t="s">
        <v>386</v>
      </c>
    </row>
    <row r="11" customFormat="false" ht="31.5" hidden="false" customHeight="true" outlineLevel="0" collapsed="false">
      <c r="B11" s="45" t="s">
        <v>280</v>
      </c>
      <c r="C11" s="46" t="s">
        <v>642</v>
      </c>
      <c r="D11" s="46" t="s">
        <v>643</v>
      </c>
      <c r="E11" s="46" t="s">
        <v>638</v>
      </c>
    </row>
    <row r="12" customFormat="false" ht="31.5" hidden="false" customHeight="true" outlineLevel="0" collapsed="false">
      <c r="B12" s="45" t="s">
        <v>644</v>
      </c>
      <c r="C12" s="46" t="s">
        <v>645</v>
      </c>
      <c r="D12" s="46" t="s">
        <v>643</v>
      </c>
      <c r="E12" s="46" t="s">
        <v>638</v>
      </c>
    </row>
    <row r="13" customFormat="false" ht="31.5" hidden="false" customHeight="true" outlineLevel="0" collapsed="false">
      <c r="B13" s="45" t="s">
        <v>286</v>
      </c>
      <c r="C13" s="46" t="s">
        <v>646</v>
      </c>
      <c r="D13" s="46" t="s">
        <v>287</v>
      </c>
      <c r="E13" s="46" t="s">
        <v>638</v>
      </c>
    </row>
    <row r="14" customFormat="false" ht="31.5" hidden="false" customHeight="true" outlineLevel="0" collapsed="false">
      <c r="B14" s="45" t="s">
        <v>647</v>
      </c>
      <c r="C14" s="46" t="s">
        <v>648</v>
      </c>
      <c r="D14" s="46" t="s">
        <v>649</v>
      </c>
      <c r="E14" s="46" t="s">
        <v>628</v>
      </c>
    </row>
    <row r="15" customFormat="false" ht="31.5" hidden="false" customHeight="true" outlineLevel="0" collapsed="false">
      <c r="B15" s="45" t="s">
        <v>386</v>
      </c>
      <c r="C15" s="46" t="s">
        <v>650</v>
      </c>
      <c r="D15" s="46" t="s">
        <v>651</v>
      </c>
      <c r="E15" s="46" t="s">
        <v>386</v>
      </c>
    </row>
    <row r="16" customFormat="false" ht="31.5" hidden="false" customHeight="true" outlineLevel="0" collapsed="false">
      <c r="B16" s="45" t="s">
        <v>431</v>
      </c>
      <c r="C16" s="46" t="s">
        <v>652</v>
      </c>
      <c r="D16" s="46" t="s">
        <v>653</v>
      </c>
      <c r="E16" s="46" t="s">
        <v>386</v>
      </c>
    </row>
    <row r="17" customFormat="false" ht="31.5" hidden="false" customHeight="true" outlineLevel="0" collapsed="false">
      <c r="B17" s="45" t="s">
        <v>347</v>
      </c>
      <c r="C17" s="46" t="s">
        <v>654</v>
      </c>
      <c r="D17" s="46" t="s">
        <v>655</v>
      </c>
      <c r="E17" s="46" t="s">
        <v>399</v>
      </c>
    </row>
    <row r="18" customFormat="false" ht="31.5" hidden="false" customHeight="true" outlineLevel="0" collapsed="false">
      <c r="B18" s="45" t="s">
        <v>349</v>
      </c>
      <c r="C18" s="46" t="s">
        <v>656</v>
      </c>
      <c r="D18" s="46" t="s">
        <v>657</v>
      </c>
      <c r="E18" s="46" t="s">
        <v>399</v>
      </c>
    </row>
    <row r="19" customFormat="false" ht="31.5" hidden="false" customHeight="true" outlineLevel="0" collapsed="false">
      <c r="B19" s="45" t="s">
        <v>351</v>
      </c>
      <c r="C19" s="46" t="s">
        <v>658</v>
      </c>
      <c r="D19" s="46" t="s">
        <v>659</v>
      </c>
      <c r="E19" s="46" t="s">
        <v>399</v>
      </c>
    </row>
    <row r="20" customFormat="false" ht="31.5" hidden="false" customHeight="true" outlineLevel="0" collapsed="false">
      <c r="B20" s="45" t="s">
        <v>660</v>
      </c>
      <c r="C20" s="46" t="s">
        <v>661</v>
      </c>
      <c r="D20" s="46" t="s">
        <v>662</v>
      </c>
      <c r="E20" s="46" t="s">
        <v>399</v>
      </c>
    </row>
    <row r="21" customFormat="false" ht="31.5" hidden="false" customHeight="true" outlineLevel="0" collapsed="false">
      <c r="B21" s="45" t="s">
        <v>663</v>
      </c>
      <c r="C21" s="46" t="s">
        <v>664</v>
      </c>
      <c r="D21" s="46" t="s">
        <v>665</v>
      </c>
      <c r="E21" s="46" t="s">
        <v>399</v>
      </c>
    </row>
    <row r="22" customFormat="false" ht="31.5" hidden="false" customHeight="true" outlineLevel="0" collapsed="false">
      <c r="B22" s="45" t="s">
        <v>399</v>
      </c>
      <c r="C22" s="46" t="s">
        <v>666</v>
      </c>
      <c r="D22" s="46" t="s">
        <v>667</v>
      </c>
      <c r="E22" s="46" t="s">
        <v>399</v>
      </c>
    </row>
    <row r="23" customFormat="false" ht="31.5" hidden="false" customHeight="true" outlineLevel="0" collapsed="false">
      <c r="B23" s="45" t="s">
        <v>668</v>
      </c>
      <c r="C23" s="46" t="s">
        <v>669</v>
      </c>
      <c r="D23" s="46" t="s">
        <v>670</v>
      </c>
      <c r="E23" s="46" t="s">
        <v>671</v>
      </c>
    </row>
    <row r="24" customFormat="false" ht="31.5" hidden="false" customHeight="true" outlineLevel="0" collapsed="false">
      <c r="B24" s="45" t="s">
        <v>672</v>
      </c>
      <c r="C24" s="46" t="s">
        <v>673</v>
      </c>
      <c r="D24" s="46" t="s">
        <v>674</v>
      </c>
      <c r="E24" s="46" t="s">
        <v>671</v>
      </c>
    </row>
    <row r="25" customFormat="false" ht="31.5" hidden="false" customHeight="true" outlineLevel="0" collapsed="false">
      <c r="B25" s="45" t="s">
        <v>675</v>
      </c>
      <c r="C25" s="46" t="s">
        <v>676</v>
      </c>
      <c r="D25" s="46" t="s">
        <v>677</v>
      </c>
      <c r="E25" s="46" t="s">
        <v>678</v>
      </c>
    </row>
    <row r="26" customFormat="false" ht="31.5" hidden="false" customHeight="true" outlineLevel="0" collapsed="false">
      <c r="B26" s="45" t="s">
        <v>679</v>
      </c>
      <c r="C26" s="46" t="s">
        <v>680</v>
      </c>
      <c r="D26" s="46" t="s">
        <v>681</v>
      </c>
      <c r="E26" s="46" t="s">
        <v>671</v>
      </c>
    </row>
    <row r="27" customFormat="false" ht="31.5" hidden="false" customHeight="true" outlineLevel="0" collapsed="false">
      <c r="B27" s="45" t="s">
        <v>233</v>
      </c>
      <c r="C27" s="46" t="s">
        <v>682</v>
      </c>
      <c r="D27" s="46" t="s">
        <v>683</v>
      </c>
      <c r="E27" s="46" t="s">
        <v>628</v>
      </c>
    </row>
    <row r="28" customFormat="false" ht="31.5" hidden="false" customHeight="true" outlineLevel="0" collapsed="false">
      <c r="B28" s="45" t="s">
        <v>684</v>
      </c>
      <c r="C28" s="46" t="s">
        <v>685</v>
      </c>
      <c r="D28" s="46" t="s">
        <v>686</v>
      </c>
      <c r="E28" s="46" t="s">
        <v>671</v>
      </c>
    </row>
    <row r="29" customFormat="false" ht="31.5" hidden="false" customHeight="true" outlineLevel="0" collapsed="false">
      <c r="B29" s="45" t="s">
        <v>687</v>
      </c>
      <c r="C29" s="46" t="s">
        <v>688</v>
      </c>
      <c r="D29" s="46" t="s">
        <v>689</v>
      </c>
      <c r="E29" s="46" t="s">
        <v>671</v>
      </c>
    </row>
    <row r="30" customFormat="false" ht="31.5" hidden="false" customHeight="true" outlineLevel="0" collapsed="false">
      <c r="B30" s="45" t="s">
        <v>460</v>
      </c>
      <c r="C30" s="46" t="s">
        <v>690</v>
      </c>
      <c r="D30" s="46" t="s">
        <v>691</v>
      </c>
      <c r="E30" s="46" t="s">
        <v>692</v>
      </c>
    </row>
    <row r="31" customFormat="false" ht="31.5" hidden="false" customHeight="true" outlineLevel="0" collapsed="false">
      <c r="B31" s="45" t="s">
        <v>462</v>
      </c>
      <c r="C31" s="46" t="s">
        <v>693</v>
      </c>
      <c r="D31" s="46" t="s">
        <v>694</v>
      </c>
      <c r="E31" s="46" t="s">
        <v>692</v>
      </c>
    </row>
    <row r="32" customFormat="false" ht="31.5" hidden="false" customHeight="true" outlineLevel="0" collapsed="false">
      <c r="B32" s="45" t="s">
        <v>463</v>
      </c>
      <c r="C32" s="46" t="s">
        <v>695</v>
      </c>
      <c r="D32" s="46" t="s">
        <v>696</v>
      </c>
      <c r="E32" s="46" t="s">
        <v>692</v>
      </c>
    </row>
    <row r="33" customFormat="false" ht="31.5" hidden="false" customHeight="true" outlineLevel="0" collapsed="false">
      <c r="B33" s="45" t="s">
        <v>697</v>
      </c>
      <c r="C33" s="46" t="s">
        <v>698</v>
      </c>
      <c r="D33" s="46" t="s">
        <v>699</v>
      </c>
      <c r="E33" s="46" t="s">
        <v>628</v>
      </c>
    </row>
    <row r="34" customFormat="false" ht="31.5" hidden="false" customHeight="true" outlineLevel="0" collapsed="false">
      <c r="B34" s="45" t="s">
        <v>700</v>
      </c>
      <c r="C34" s="46" t="s">
        <v>701</v>
      </c>
      <c r="D34" s="46" t="s">
        <v>702</v>
      </c>
      <c r="E34" s="46" t="s">
        <v>628</v>
      </c>
    </row>
    <row r="35" customFormat="false" ht="31.5" hidden="false" customHeight="true" outlineLevel="0" collapsed="false">
      <c r="B35" s="45" t="s">
        <v>235</v>
      </c>
      <c r="C35" s="46" t="s">
        <v>703</v>
      </c>
      <c r="D35" s="46" t="s">
        <v>312</v>
      </c>
      <c r="E35" s="46" t="s">
        <v>628</v>
      </c>
    </row>
    <row r="36" customFormat="false" ht="31.5" hidden="false" customHeight="true" outlineLevel="0" collapsed="false">
      <c r="B36" s="45" t="s">
        <v>531</v>
      </c>
      <c r="C36" s="46" t="s">
        <v>704</v>
      </c>
      <c r="D36" s="46" t="s">
        <v>705</v>
      </c>
      <c r="E36" s="46" t="s">
        <v>671</v>
      </c>
    </row>
    <row r="37" customFormat="false" ht="31.5" hidden="false" customHeight="true" outlineLevel="0" collapsed="false">
      <c r="B37" s="45" t="s">
        <v>530</v>
      </c>
      <c r="C37" s="46" t="s">
        <v>706</v>
      </c>
      <c r="D37" s="46" t="s">
        <v>707</v>
      </c>
      <c r="E37" s="46" t="s">
        <v>530</v>
      </c>
    </row>
    <row r="38" customFormat="false" ht="31.5" hidden="false" customHeight="true" outlineLevel="0" collapsed="false">
      <c r="B38" s="45" t="s">
        <v>532</v>
      </c>
      <c r="C38" s="46" t="s">
        <v>708</v>
      </c>
      <c r="D38" s="46" t="s">
        <v>709</v>
      </c>
      <c r="E38" s="46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8" min="3" style="0" width="13"/>
    <col collapsed="false" customWidth="true" hidden="false" outlineLevel="0" max="9" min="9" style="0" width="110"/>
    <col collapsed="false" customWidth="true" hidden="false" outlineLevel="0" max="12" min="12" style="0" width="20"/>
  </cols>
  <sheetData>
    <row r="1" customFormat="false" ht="17.35" hidden="false" customHeight="false" outlineLevel="0" collapsed="false">
      <c r="B1" s="1" t="s">
        <v>678</v>
      </c>
    </row>
    <row r="2" customFormat="false" ht="15" hidden="false" customHeight="false" outlineLevel="0" collapsed="false">
      <c r="B2" s="2" t="s">
        <v>710</v>
      </c>
    </row>
    <row r="4" customFormat="false" ht="15" hidden="false" customHeight="false" outlineLevel="0" collapsed="false">
      <c r="L4" s="4" t="s">
        <v>711</v>
      </c>
    </row>
    <row r="5" customFormat="false" ht="16.15" hidden="false" customHeight="false" outlineLevel="0" collapsed="false">
      <c r="B5" s="47" t="str">
        <f aca="false">"EM USO: "&amp;INDEX($L$5:$L$7,Painel!$Y$5)</f>
        <v>EM USO: Vale (VALE3)</v>
      </c>
      <c r="L5" s="7" t="s">
        <v>5</v>
      </c>
    </row>
    <row r="6" customFormat="false" ht="15" hidden="false" customHeight="false" outlineLevel="0" collapsed="false">
      <c r="B6" s="8" t="s">
        <v>712</v>
      </c>
      <c r="C6" s="9" t="s">
        <v>713</v>
      </c>
      <c r="D6" s="9" t="s">
        <v>13</v>
      </c>
      <c r="E6" s="9" t="s">
        <v>8</v>
      </c>
      <c r="F6" s="9" t="s">
        <v>14</v>
      </c>
      <c r="G6" s="9"/>
      <c r="H6" s="9"/>
      <c r="I6" s="8"/>
      <c r="L6" s="7" t="s">
        <v>9</v>
      </c>
    </row>
    <row r="7" customFormat="false" ht="15" hidden="false" customHeight="false" outlineLevel="0" collapsed="false">
      <c r="B7" s="0" t="s">
        <v>714</v>
      </c>
      <c r="C7" s="48" t="n">
        <f aca="false">INDEX(C$1:C$161,ROW()+39*Painel!$Y$5)</f>
        <v>0.0209</v>
      </c>
      <c r="D7" s="48" t="n">
        <f aca="false">INDEX(D$1:D$161,ROW()+39*Painel!$Y$5)</f>
        <v>0</v>
      </c>
      <c r="E7" s="48" t="n">
        <f aca="false">INDEX(E$1:E$161,ROW()+39*Painel!$Y$5)</f>
        <v>0.0378</v>
      </c>
      <c r="F7" s="48" t="n">
        <f aca="false">INDEX(F$1:F$161,ROW()+39*Painel!$Y$5)</f>
        <v>0.0683</v>
      </c>
      <c r="L7" s="7" t="s">
        <v>10</v>
      </c>
    </row>
    <row r="8" customFormat="false" ht="15" hidden="false" customHeight="false" outlineLevel="0" collapsed="false">
      <c r="B8" s="0" t="s">
        <v>18</v>
      </c>
      <c r="C8" s="48" t="n">
        <f aca="false">INDEX(C$1:C$161,ROW()+39*Painel!$Y$5)</f>
        <v>0.3459</v>
      </c>
      <c r="D8" s="48" t="n">
        <f aca="false">INDEX(D$1:D$161,ROW()+39*Painel!$Y$5)</f>
        <v>0.3484</v>
      </c>
      <c r="E8" s="48" t="n">
        <f aca="false">INDEX(E$1:E$161,ROW()+39*Painel!$Y$5)</f>
        <v>0.3936</v>
      </c>
      <c r="F8" s="48" t="n">
        <f aca="false">INDEX(F$1:F$161,ROW()+39*Painel!$Y$5)</f>
        <v>0.4542</v>
      </c>
    </row>
    <row r="9" customFormat="false" ht="15" hidden="false" customHeight="false" outlineLevel="0" collapsed="false">
      <c r="B9" s="0" t="s">
        <v>715</v>
      </c>
      <c r="D9" s="32" t="n">
        <f aca="false">INDEX(D$1:D$161,ROW()+39*Painel!$Y$5)</f>
        <v>0.0156</v>
      </c>
      <c r="E9" s="32" t="n">
        <f aca="false">INDEX(E$1:E$161,ROW()+39*Painel!$Y$5)</f>
        <v>0</v>
      </c>
      <c r="F9" s="32" t="n">
        <f aca="false">INDEX(F$1:F$161,ROW()+39*Painel!$Y$5)</f>
        <v>-0.0156</v>
      </c>
    </row>
    <row r="11" customFormat="false" ht="15" hidden="false" customHeight="false" outlineLevel="0" collapsed="false">
      <c r="B11" s="8" t="s">
        <v>716</v>
      </c>
      <c r="C11" s="9"/>
      <c r="D11" s="9" t="s">
        <v>246</v>
      </c>
      <c r="E11" s="9" t="s">
        <v>247</v>
      </c>
      <c r="F11" s="9" t="s">
        <v>248</v>
      </c>
      <c r="G11" s="9" t="s">
        <v>249</v>
      </c>
      <c r="H11" s="9" t="s">
        <v>250</v>
      </c>
      <c r="I11" s="8"/>
    </row>
    <row r="12" customFormat="false" ht="15" hidden="false" customHeight="false" outlineLevel="0" collapsed="false">
      <c r="B12" s="0" t="s">
        <v>717</v>
      </c>
      <c r="D12" s="48" t="n">
        <f aca="false">INDEX(D$1:D$161,ROW()+39*Painel!$Y$5)</f>
        <v>0.083</v>
      </c>
      <c r="E12" s="48" t="n">
        <f aca="false">INDEX(E$1:E$161,ROW()+39*Painel!$Y$5)</f>
        <v>0.0815</v>
      </c>
      <c r="F12" s="48" t="n">
        <f aca="false">INDEX(F$1:F$161,ROW()+39*Painel!$Y$5)</f>
        <v>0.08</v>
      </c>
      <c r="G12" s="48" t="n">
        <f aca="false">INDEX(G$1:G$161,ROW()+39*Painel!$Y$5)</f>
        <v>0.0785</v>
      </c>
      <c r="H12" s="48" t="n">
        <f aca="false">INDEX(H$1:H$161,ROW()+39*Painel!$Y$5)</f>
        <v>0.077</v>
      </c>
    </row>
    <row r="13" customFormat="false" ht="15" hidden="false" customHeight="false" outlineLevel="0" collapsed="false">
      <c r="B13" s="0" t="s">
        <v>718</v>
      </c>
      <c r="D13" s="31" t="n">
        <f aca="false">INDEX(D$1:D$161,ROW()+39*Painel!$Y$5)</f>
        <v>-1570</v>
      </c>
      <c r="E13" s="31" t="n">
        <f aca="false">INDEX(E$1:E$161,ROW()+39*Painel!$Y$5)</f>
        <v>-1570</v>
      </c>
      <c r="F13" s="31" t="n">
        <f aca="false">INDEX(F$1:F$161,ROW()+39*Painel!$Y$5)</f>
        <v>-1570</v>
      </c>
      <c r="G13" s="31" t="n">
        <f aca="false">INDEX(G$1:G$161,ROW()+39*Painel!$Y$5)</f>
        <v>-1570</v>
      </c>
      <c r="H13" s="31" t="n">
        <f aca="false">INDEX(H$1:H$161,ROW()+39*Painel!$Y$5)</f>
        <v>-1570</v>
      </c>
    </row>
    <row r="14" customFormat="false" ht="15" hidden="false" customHeight="false" outlineLevel="0" collapsed="false">
      <c r="B14" s="0" t="s">
        <v>719</v>
      </c>
      <c r="D14" s="48" t="n">
        <f aca="false">INDEX(D$1:D$161,ROW()+39*Painel!$Y$5)</f>
        <v>0.146</v>
      </c>
      <c r="E14" s="48" t="n">
        <f aca="false">INDEX(E$1:E$161,ROW()+39*Painel!$Y$5)</f>
        <v>0.1449</v>
      </c>
      <c r="F14" s="48" t="n">
        <f aca="false">INDEX(F$1:F$161,ROW()+39*Painel!$Y$5)</f>
        <v>0.1438</v>
      </c>
      <c r="G14" s="48" t="n">
        <f aca="false">INDEX(G$1:G$161,ROW()+39*Painel!$Y$5)</f>
        <v>0.1427</v>
      </c>
      <c r="H14" s="48" t="n">
        <f aca="false">INDEX(H$1:H$161,ROW()+39*Painel!$Y$5)</f>
        <v>0.1415</v>
      </c>
    </row>
    <row r="15" customFormat="false" ht="15" hidden="false" customHeight="false" outlineLevel="0" collapsed="false">
      <c r="B15" s="0" t="s">
        <v>720</v>
      </c>
      <c r="D15" s="48" t="n">
        <f aca="false">INDEX(D$1:D$161,ROW()+39*Painel!$Y$5)</f>
        <v>0.0569</v>
      </c>
      <c r="E15" s="48" t="n">
        <f aca="false">INDEX(E$1:E$161,ROW()+39*Painel!$Y$5)</f>
        <v>0.0569</v>
      </c>
      <c r="F15" s="48" t="n">
        <f aca="false">INDEX(F$1:F$161,ROW()+39*Painel!$Y$5)</f>
        <v>0.0569</v>
      </c>
      <c r="G15" s="48" t="n">
        <f aca="false">INDEX(G$1:G$161,ROW()+39*Painel!$Y$5)</f>
        <v>0.0569</v>
      </c>
      <c r="H15" s="48" t="n">
        <f aca="false">INDEX(H$1:H$161,ROW()+39*Painel!$Y$5)</f>
        <v>0.0569</v>
      </c>
    </row>
    <row r="16" customFormat="false" ht="15" hidden="false" customHeight="false" outlineLevel="0" collapsed="false">
      <c r="B16" s="0" t="s">
        <v>219</v>
      </c>
      <c r="D16" s="49" t="n">
        <f aca="false">INDEX(D$1:D$161,ROW()+39*Painel!$Y$5)</f>
        <v>21.598</v>
      </c>
      <c r="E16" s="49" t="n">
        <f aca="false">INDEX(E$1:E$161,ROW()+39*Painel!$Y$5)</f>
        <v>21.598</v>
      </c>
      <c r="F16" s="49" t="n">
        <f aca="false">INDEX(F$1:F$161,ROW()+39*Painel!$Y$5)</f>
        <v>21.598</v>
      </c>
      <c r="G16" s="49" t="n">
        <f aca="false">INDEX(G$1:G$161,ROW()+39*Painel!$Y$5)</f>
        <v>21.598</v>
      </c>
      <c r="H16" s="49" t="n">
        <f aca="false">INDEX(H$1:H$161,ROW()+39*Painel!$Y$5)</f>
        <v>21.598</v>
      </c>
    </row>
    <row r="17" customFormat="false" ht="15" hidden="false" customHeight="false" outlineLevel="0" collapsed="false">
      <c r="B17" s="0" t="s">
        <v>221</v>
      </c>
      <c r="D17" s="49" t="n">
        <f aca="false">INDEX(D$1:D$161,ROW()+39*Painel!$Y$5)</f>
        <v>98.067</v>
      </c>
      <c r="E17" s="49" t="n">
        <f aca="false">INDEX(E$1:E$161,ROW()+39*Painel!$Y$5)</f>
        <v>98.067</v>
      </c>
      <c r="F17" s="49" t="n">
        <f aca="false">INDEX(F$1:F$161,ROW()+39*Painel!$Y$5)</f>
        <v>98.067</v>
      </c>
      <c r="G17" s="49" t="n">
        <f aca="false">INDEX(G$1:G$161,ROW()+39*Painel!$Y$5)</f>
        <v>98.067</v>
      </c>
      <c r="H17" s="49" t="n">
        <f aca="false">INDEX(H$1:H$161,ROW()+39*Painel!$Y$5)</f>
        <v>98.067</v>
      </c>
    </row>
    <row r="18" customFormat="false" ht="15" hidden="false" customHeight="false" outlineLevel="0" collapsed="false">
      <c r="B18" s="0" t="s">
        <v>223</v>
      </c>
      <c r="D18" s="49" t="n">
        <f aca="false">INDEX(D$1:D$161,ROW()+39*Painel!$Y$5)</f>
        <v>91.9277</v>
      </c>
      <c r="E18" s="49" t="n">
        <f aca="false">INDEX(E$1:E$161,ROW()+39*Painel!$Y$5)</f>
        <v>91.9277</v>
      </c>
      <c r="F18" s="49" t="n">
        <f aca="false">INDEX(F$1:F$161,ROW()+39*Painel!$Y$5)</f>
        <v>91.9277</v>
      </c>
      <c r="G18" s="49" t="n">
        <f aca="false">INDEX(G$1:G$161,ROW()+39*Painel!$Y$5)</f>
        <v>91.9277</v>
      </c>
      <c r="H18" s="49" t="n">
        <f aca="false">INDEX(H$1:H$161,ROW()+39*Painel!$Y$5)</f>
        <v>91.9277</v>
      </c>
    </row>
    <row r="19" customFormat="false" ht="15" hidden="false" customHeight="false" outlineLevel="0" collapsed="false">
      <c r="B19" s="0" t="s">
        <v>721</v>
      </c>
      <c r="D19" s="31" t="n">
        <f aca="false">INDEX(D$1:D$161,ROW()+39*Painel!$Y$5)</f>
        <v>0</v>
      </c>
      <c r="E19" s="31" t="n">
        <f aca="false">INDEX(E$1:E$161,ROW()+39*Painel!$Y$5)</f>
        <v>0</v>
      </c>
      <c r="F19" s="31" t="n">
        <f aca="false">INDEX(F$1:F$161,ROW()+39*Painel!$Y$5)</f>
        <v>0</v>
      </c>
      <c r="G19" s="31" t="n">
        <f aca="false">INDEX(G$1:G$161,ROW()+39*Painel!$Y$5)</f>
        <v>0</v>
      </c>
      <c r="H19" s="31" t="n">
        <f aca="false">INDEX(H$1:H$161,ROW()+39*Painel!$Y$5)</f>
        <v>0</v>
      </c>
    </row>
    <row r="21" customFormat="false" ht="15" hidden="false" customHeight="false" outlineLevel="0" collapsed="false">
      <c r="B21" s="8" t="s">
        <v>722</v>
      </c>
      <c r="C21" s="9"/>
      <c r="D21" s="9" t="s">
        <v>22</v>
      </c>
      <c r="E21" s="9"/>
      <c r="F21" s="9"/>
      <c r="G21" s="9"/>
      <c r="H21" s="9"/>
      <c r="I21" s="8"/>
    </row>
    <row r="22" customFormat="false" ht="15" hidden="false" customHeight="false" outlineLevel="0" collapsed="false">
      <c r="B22" s="0" t="s">
        <v>360</v>
      </c>
      <c r="D22" s="48" t="n">
        <f aca="false">INDEX(D$1:D$161,ROW()+39*Painel!$Y$5)</f>
        <v>0.34</v>
      </c>
    </row>
    <row r="23" customFormat="false" ht="15" hidden="false" customHeight="false" outlineLevel="0" collapsed="false">
      <c r="B23" s="0" t="s">
        <v>723</v>
      </c>
      <c r="D23" s="48" t="n">
        <f aca="false">INDEX(D$1:D$161,ROW()+39*Painel!$Y$5)</f>
        <v>0.056</v>
      </c>
    </row>
    <row r="24" customFormat="false" ht="15" hidden="false" customHeight="false" outlineLevel="0" collapsed="false">
      <c r="B24" s="0" t="s">
        <v>724</v>
      </c>
      <c r="D24" s="48" t="n">
        <f aca="false">INDEX(D$1:D$161,ROW()+39*Painel!$Y$5)</f>
        <v>0.0715</v>
      </c>
    </row>
    <row r="25" customFormat="false" ht="15" hidden="false" customHeight="false" outlineLevel="0" collapsed="false">
      <c r="B25" s="0" t="s">
        <v>491</v>
      </c>
      <c r="D25" s="48" t="n">
        <f aca="false">INDEX(D$1:D$161,ROW()+39*Painel!$Y$5)</f>
        <v>0.0936</v>
      </c>
    </row>
    <row r="26" customFormat="false" ht="15" hidden="false" customHeight="false" outlineLevel="0" collapsed="false">
      <c r="B26" s="0" t="s">
        <v>725</v>
      </c>
      <c r="D26" s="48" t="n">
        <f aca="false">INDEX(D$1:D$161,ROW()+39*Painel!$Y$5)</f>
        <v>0.679</v>
      </c>
    </row>
    <row r="27" customFormat="false" ht="15" hidden="false" customHeight="false" outlineLevel="0" collapsed="false">
      <c r="B27" s="0" t="s">
        <v>347</v>
      </c>
      <c r="D27" s="48" t="n">
        <f aca="false">INDEX(D$1:D$161,ROW()+39*Painel!$Y$5)</f>
        <v>0.1291</v>
      </c>
    </row>
    <row r="28" customFormat="false" ht="15" hidden="false" customHeight="false" outlineLevel="0" collapsed="false">
      <c r="B28" s="0" t="s">
        <v>349</v>
      </c>
      <c r="D28" s="50" t="n">
        <f aca="false">INDEX(D$1:D$161,ROW()+39*Painel!$Y$5)</f>
        <v>0.7558</v>
      </c>
    </row>
    <row r="29" customFormat="false" ht="15" hidden="false" customHeight="false" outlineLevel="0" collapsed="false">
      <c r="B29" s="0" t="s">
        <v>351</v>
      </c>
      <c r="D29" s="48" t="n">
        <f aca="false">INDEX(D$1:D$161,ROW()+39*Painel!$Y$5)</f>
        <v>0.0423</v>
      </c>
    </row>
    <row r="30" customFormat="false" ht="15" hidden="false" customHeight="false" outlineLevel="0" collapsed="false">
      <c r="B30" s="0" t="s">
        <v>726</v>
      </c>
      <c r="D30" s="48" t="n">
        <f aca="false">INDEX(D$1:D$161,ROW()+39*Painel!$Y$5)</f>
        <v>0</v>
      </c>
    </row>
    <row r="31" customFormat="false" ht="15" hidden="false" customHeight="false" outlineLevel="0" collapsed="false">
      <c r="B31" s="0" t="s">
        <v>727</v>
      </c>
      <c r="D31" s="48" t="n">
        <f aca="false">INDEX(D$1:D$161,ROW()+39*Painel!$Y$5)</f>
        <v>0.2625</v>
      </c>
    </row>
    <row r="32" customFormat="false" ht="15" hidden="false" customHeight="false" outlineLevel="0" collapsed="false">
      <c r="B32" s="0" t="s">
        <v>401</v>
      </c>
      <c r="D32" s="48" t="n">
        <f aca="false">INDEX(D$1:D$161,ROW()+39*Painel!$Y$5)</f>
        <v>0.035</v>
      </c>
    </row>
    <row r="33" customFormat="false" ht="15" hidden="false" customHeight="false" outlineLevel="0" collapsed="false">
      <c r="B33" s="0" t="s">
        <v>728</v>
      </c>
      <c r="D33" s="51" t="n">
        <f aca="false">INDEX(D$1:D$161,ROW()+39*Painel!$Y$5)</f>
        <v>1</v>
      </c>
    </row>
    <row r="34" customFormat="false" ht="15" hidden="false" customHeight="false" outlineLevel="0" collapsed="false">
      <c r="B34" s="0" t="s">
        <v>729</v>
      </c>
      <c r="D34" s="31" t="n">
        <f aca="false">INDEX(D$1:D$161,ROW()+39*Painel!$Y$5)</f>
        <v>0</v>
      </c>
    </row>
    <row r="36" customFormat="false" ht="15" hidden="false" customHeight="false" outlineLevel="0" collapsed="false">
      <c r="B36" s="8" t="s">
        <v>730</v>
      </c>
      <c r="C36" s="9"/>
      <c r="D36" s="9" t="s">
        <v>22</v>
      </c>
      <c r="E36" s="9"/>
      <c r="F36" s="9"/>
      <c r="G36" s="9"/>
      <c r="H36" s="9"/>
      <c r="I36" s="8"/>
    </row>
    <row r="37" customFormat="false" ht="15" hidden="false" customHeight="false" outlineLevel="0" collapsed="false">
      <c r="B37" s="0" t="s">
        <v>731</v>
      </c>
      <c r="D37" s="52" t="n">
        <f aca="false">INDEX(D$1:D$161,ROW()+39*Painel!$Y$5)</f>
        <v>46203</v>
      </c>
    </row>
    <row r="38" customFormat="false" ht="15" hidden="false" customHeight="false" outlineLevel="0" collapsed="false">
      <c r="B38" s="0" t="s">
        <v>422</v>
      </c>
      <c r="D38" s="53" t="n">
        <f aca="false">INDEX(D$1:D$161,ROW()+39*Painel!$Y$5)</f>
        <v>4072.366</v>
      </c>
    </row>
    <row r="39" customFormat="false" ht="15" hidden="false" customHeight="false" outlineLevel="0" collapsed="false">
      <c r="B39" s="0" t="s">
        <v>732</v>
      </c>
      <c r="D39" s="41" t="n">
        <f aca="false">INDEX(D$1:D$161,ROW()+39*Painel!$Y$5)</f>
        <v>67.64</v>
      </c>
    </row>
    <row r="40" customFormat="false" ht="15" hidden="false" customHeight="false" outlineLevel="0" collapsed="false">
      <c r="B40" s="0" t="s">
        <v>378</v>
      </c>
      <c r="D40" s="31" t="n">
        <f aca="false">INDEX(D$1:D$161,ROW()+39*Painel!$Y$5)</f>
        <v>275454.8362</v>
      </c>
    </row>
    <row r="41" customFormat="false" ht="15" hidden="false" customHeight="false" outlineLevel="0" collapsed="false">
      <c r="B41" s="0" t="s">
        <v>733</v>
      </c>
      <c r="D41" s="54" t="str">
        <f aca="false">INDEX(D$1:D$161,ROW()+39*Painel!$Y$5)</f>
        <v>2026-10-08</v>
      </c>
    </row>
    <row r="44" customFormat="false" ht="16.15" hidden="false" customHeight="false" outlineLevel="0" collapsed="false">
      <c r="B44" s="47" t="s">
        <v>5</v>
      </c>
    </row>
    <row r="45" customFormat="false" ht="15" hidden="false" customHeight="false" outlineLevel="0" collapsed="false">
      <c r="B45" s="8" t="s">
        <v>712</v>
      </c>
      <c r="C45" s="9" t="s">
        <v>713</v>
      </c>
      <c r="D45" s="9" t="s">
        <v>13</v>
      </c>
      <c r="E45" s="9" t="s">
        <v>8</v>
      </c>
      <c r="F45" s="9" t="s">
        <v>14</v>
      </c>
      <c r="G45" s="9"/>
      <c r="H45" s="9"/>
      <c r="I45" s="8" t="s">
        <v>734</v>
      </c>
    </row>
    <row r="46" customFormat="false" ht="15" hidden="false" customHeight="false" outlineLevel="0" collapsed="false">
      <c r="B46" s="0" t="s">
        <v>714</v>
      </c>
      <c r="C46" s="12" t="n">
        <v>0.0209</v>
      </c>
      <c r="D46" s="12" t="n">
        <v>0</v>
      </c>
      <c r="E46" s="12" t="n">
        <v>0.0378</v>
      </c>
      <c r="F46" s="12" t="n">
        <v>0.0683</v>
      </c>
      <c r="I46" s="2" t="s">
        <v>735</v>
      </c>
    </row>
    <row r="47" customFormat="false" ht="15" hidden="false" customHeight="false" outlineLevel="0" collapsed="false">
      <c r="B47" s="0" t="s">
        <v>18</v>
      </c>
      <c r="C47" s="12" t="n">
        <v>0.3459</v>
      </c>
      <c r="D47" s="12" t="n">
        <v>0.3484</v>
      </c>
      <c r="E47" s="12" t="n">
        <v>0.3936</v>
      </c>
      <c r="F47" s="12" t="n">
        <v>0.4542</v>
      </c>
      <c r="I47" s="2" t="s">
        <v>736</v>
      </c>
    </row>
    <row r="48" customFormat="false" ht="15" hidden="false" customHeight="false" outlineLevel="0" collapsed="false">
      <c r="B48" s="0" t="s">
        <v>715</v>
      </c>
      <c r="D48" s="55" t="n">
        <v>0.0156</v>
      </c>
      <c r="E48" s="55" t="n">
        <v>0</v>
      </c>
      <c r="F48" s="55" t="n">
        <v>-0.0156</v>
      </c>
      <c r="I48" s="2" t="s">
        <v>737</v>
      </c>
    </row>
    <row r="50" customFormat="false" ht="15" hidden="false" customHeight="false" outlineLevel="0" collapsed="false">
      <c r="B50" s="8" t="s">
        <v>716</v>
      </c>
      <c r="C50" s="9"/>
      <c r="D50" s="9" t="s">
        <v>246</v>
      </c>
      <c r="E50" s="9" t="s">
        <v>247</v>
      </c>
      <c r="F50" s="9" t="s">
        <v>248</v>
      </c>
      <c r="G50" s="9" t="s">
        <v>249</v>
      </c>
      <c r="H50" s="9" t="s">
        <v>250</v>
      </c>
      <c r="I50" s="8" t="s">
        <v>734</v>
      </c>
    </row>
    <row r="51" customFormat="false" ht="15" hidden="false" customHeight="false" outlineLevel="0" collapsed="false">
      <c r="B51" s="0" t="s">
        <v>717</v>
      </c>
      <c r="D51" s="12" t="n">
        <v>0.083</v>
      </c>
      <c r="E51" s="12" t="n">
        <v>0.0815</v>
      </c>
      <c r="F51" s="12" t="n">
        <v>0.08</v>
      </c>
      <c r="G51" s="12" t="n">
        <v>0.0785</v>
      </c>
      <c r="H51" s="12" t="n">
        <v>0.077</v>
      </c>
      <c r="I51" s="2" t="s">
        <v>738</v>
      </c>
    </row>
    <row r="52" customFormat="false" ht="15" hidden="false" customHeight="false" outlineLevel="0" collapsed="false">
      <c r="B52" s="0" t="s">
        <v>718</v>
      </c>
      <c r="D52" s="56" t="n">
        <v>-1570</v>
      </c>
      <c r="E52" s="56" t="n">
        <v>-1570</v>
      </c>
      <c r="F52" s="56" t="n">
        <v>-1570</v>
      </c>
      <c r="G52" s="56" t="n">
        <v>-1570</v>
      </c>
      <c r="H52" s="56" t="n">
        <v>-1570</v>
      </c>
      <c r="I52" s="2" t="s">
        <v>739</v>
      </c>
    </row>
    <row r="53" customFormat="false" ht="15" hidden="false" customHeight="false" outlineLevel="0" collapsed="false">
      <c r="B53" s="0" t="s">
        <v>719</v>
      </c>
      <c r="D53" s="12" t="n">
        <v>0.146</v>
      </c>
      <c r="E53" s="12" t="n">
        <v>0.1449</v>
      </c>
      <c r="F53" s="12" t="n">
        <v>0.1438</v>
      </c>
      <c r="G53" s="12" t="n">
        <v>0.1427</v>
      </c>
      <c r="H53" s="12" t="n">
        <v>0.1415</v>
      </c>
      <c r="I53" s="2" t="s">
        <v>740</v>
      </c>
    </row>
    <row r="54" customFormat="false" ht="15" hidden="false" customHeight="false" outlineLevel="0" collapsed="false">
      <c r="B54" s="0" t="s">
        <v>720</v>
      </c>
      <c r="D54" s="12" t="n">
        <v>0.0569</v>
      </c>
      <c r="E54" s="12" t="n">
        <v>0.0569</v>
      </c>
      <c r="F54" s="12" t="n">
        <v>0.0569</v>
      </c>
      <c r="G54" s="12" t="n">
        <v>0.0569</v>
      </c>
      <c r="H54" s="12" t="n">
        <v>0.0569</v>
      </c>
      <c r="I54" s="2" t="s">
        <v>739</v>
      </c>
    </row>
    <row r="55" customFormat="false" ht="15" hidden="false" customHeight="false" outlineLevel="0" collapsed="false">
      <c r="B55" s="0" t="s">
        <v>219</v>
      </c>
      <c r="D55" s="57" t="n">
        <v>21.598</v>
      </c>
      <c r="E55" s="57" t="n">
        <v>21.598</v>
      </c>
      <c r="F55" s="57" t="n">
        <v>21.598</v>
      </c>
      <c r="G55" s="57" t="n">
        <v>21.598</v>
      </c>
      <c r="H55" s="57" t="n">
        <v>21.598</v>
      </c>
      <c r="I55" s="2" t="s">
        <v>741</v>
      </c>
    </row>
    <row r="56" customFormat="false" ht="15" hidden="false" customHeight="false" outlineLevel="0" collapsed="false">
      <c r="B56" s="0" t="s">
        <v>221</v>
      </c>
      <c r="D56" s="57" t="n">
        <v>98.067</v>
      </c>
      <c r="E56" s="57" t="n">
        <v>98.067</v>
      </c>
      <c r="F56" s="57" t="n">
        <v>98.067</v>
      </c>
      <c r="G56" s="57" t="n">
        <v>98.067</v>
      </c>
      <c r="H56" s="57" t="n">
        <v>98.067</v>
      </c>
      <c r="I56" s="2" t="s">
        <v>741</v>
      </c>
    </row>
    <row r="57" customFormat="false" ht="15" hidden="false" customHeight="false" outlineLevel="0" collapsed="false">
      <c r="B57" s="0" t="s">
        <v>223</v>
      </c>
      <c r="D57" s="57" t="n">
        <v>91.9277</v>
      </c>
      <c r="E57" s="57" t="n">
        <v>91.9277</v>
      </c>
      <c r="F57" s="57" t="n">
        <v>91.9277</v>
      </c>
      <c r="G57" s="57" t="n">
        <v>91.9277</v>
      </c>
      <c r="H57" s="57" t="n">
        <v>91.9277</v>
      </c>
      <c r="I57" s="2" t="s">
        <v>741</v>
      </c>
    </row>
    <row r="58" customFormat="false" ht="15" hidden="false" customHeight="false" outlineLevel="0" collapsed="false">
      <c r="B58" s="0" t="s">
        <v>721</v>
      </c>
      <c r="D58" s="56" t="n">
        <v>0</v>
      </c>
      <c r="E58" s="56" t="n">
        <v>0</v>
      </c>
      <c r="F58" s="56" t="n">
        <v>0</v>
      </c>
      <c r="G58" s="56" t="n">
        <v>0</v>
      </c>
      <c r="H58" s="56" t="n">
        <v>0</v>
      </c>
      <c r="I58" s="2" t="s">
        <v>742</v>
      </c>
    </row>
    <row r="60" customFormat="false" ht="15" hidden="false" customHeight="false" outlineLevel="0" collapsed="false">
      <c r="B60" s="8" t="s">
        <v>722</v>
      </c>
      <c r="C60" s="9"/>
      <c r="D60" s="9" t="s">
        <v>22</v>
      </c>
      <c r="E60" s="9"/>
      <c r="F60" s="9"/>
      <c r="G60" s="9"/>
      <c r="H60" s="9"/>
      <c r="I60" s="8" t="s">
        <v>734</v>
      </c>
    </row>
    <row r="61" customFormat="false" ht="15" hidden="false" customHeight="false" outlineLevel="0" collapsed="false">
      <c r="B61" s="0" t="s">
        <v>360</v>
      </c>
      <c r="D61" s="12" t="n">
        <v>0.34</v>
      </c>
      <c r="I61" s="2" t="s">
        <v>743</v>
      </c>
    </row>
    <row r="62" customFormat="false" ht="15" hidden="false" customHeight="false" outlineLevel="0" collapsed="false">
      <c r="B62" s="0" t="s">
        <v>723</v>
      </c>
      <c r="D62" s="12" t="n">
        <v>0.056</v>
      </c>
      <c r="I62" s="2" t="s">
        <v>744</v>
      </c>
    </row>
    <row r="63" customFormat="false" ht="15" hidden="false" customHeight="false" outlineLevel="0" collapsed="false">
      <c r="B63" s="0" t="s">
        <v>724</v>
      </c>
      <c r="D63" s="12" t="n">
        <v>0.0715</v>
      </c>
      <c r="I63" s="2" t="s">
        <v>745</v>
      </c>
    </row>
    <row r="64" customFormat="false" ht="15" hidden="false" customHeight="false" outlineLevel="0" collapsed="false">
      <c r="B64" s="0" t="s">
        <v>491</v>
      </c>
      <c r="D64" s="12" t="n">
        <v>0.0936</v>
      </c>
      <c r="I64" s="2" t="s">
        <v>746</v>
      </c>
    </row>
    <row r="65" customFormat="false" ht="15" hidden="false" customHeight="false" outlineLevel="0" collapsed="false">
      <c r="B65" s="0" t="s">
        <v>725</v>
      </c>
      <c r="D65" s="12" t="n">
        <v>0.679</v>
      </c>
      <c r="I65" s="2" t="s">
        <v>747</v>
      </c>
    </row>
    <row r="66" customFormat="false" ht="15" hidden="false" customHeight="false" outlineLevel="0" collapsed="false">
      <c r="B66" s="0" t="s">
        <v>347</v>
      </c>
      <c r="D66" s="12" t="n">
        <v>0.1291</v>
      </c>
      <c r="I66" s="2" t="s">
        <v>748</v>
      </c>
    </row>
    <row r="67" customFormat="false" ht="15" hidden="false" customHeight="false" outlineLevel="0" collapsed="false">
      <c r="B67" s="0" t="s">
        <v>349</v>
      </c>
      <c r="D67" s="58" t="n">
        <v>0.7558</v>
      </c>
      <c r="I67" s="2" t="s">
        <v>749</v>
      </c>
    </row>
    <row r="68" customFormat="false" ht="15" hidden="false" customHeight="false" outlineLevel="0" collapsed="false">
      <c r="B68" s="0" t="s">
        <v>351</v>
      </c>
      <c r="D68" s="12" t="n">
        <v>0.0423</v>
      </c>
      <c r="I68" s="2" t="s">
        <v>750</v>
      </c>
    </row>
    <row r="69" customFormat="false" ht="15" hidden="false" customHeight="false" outlineLevel="0" collapsed="false">
      <c r="B69" s="0" t="s">
        <v>726</v>
      </c>
      <c r="D69" s="12" t="n">
        <v>0</v>
      </c>
      <c r="I69" s="2" t="s">
        <v>751</v>
      </c>
    </row>
    <row r="70" customFormat="false" ht="15" hidden="false" customHeight="false" outlineLevel="0" collapsed="false">
      <c r="B70" s="0" t="s">
        <v>727</v>
      </c>
      <c r="D70" s="12" t="n">
        <v>0.2625</v>
      </c>
      <c r="I70" s="2" t="s">
        <v>752</v>
      </c>
    </row>
    <row r="71" customFormat="false" ht="15" hidden="false" customHeight="false" outlineLevel="0" collapsed="false">
      <c r="B71" s="0" t="s">
        <v>401</v>
      </c>
      <c r="D71" s="12" t="n">
        <v>0.035</v>
      </c>
      <c r="I71" s="2" t="s">
        <v>753</v>
      </c>
    </row>
    <row r="72" customFormat="false" ht="15" hidden="false" customHeight="false" outlineLevel="0" collapsed="false">
      <c r="B72" s="0" t="s">
        <v>728</v>
      </c>
      <c r="D72" s="59" t="n">
        <v>1</v>
      </c>
      <c r="I72" s="2" t="s">
        <v>754</v>
      </c>
    </row>
    <row r="73" customFormat="false" ht="15" hidden="false" customHeight="false" outlineLevel="0" collapsed="false">
      <c r="B73" s="0" t="s">
        <v>729</v>
      </c>
      <c r="D73" s="56" t="n">
        <v>0</v>
      </c>
      <c r="I73" s="2" t="s">
        <v>755</v>
      </c>
    </row>
    <row r="75" customFormat="false" ht="15" hidden="false" customHeight="false" outlineLevel="0" collapsed="false">
      <c r="B75" s="8" t="s">
        <v>730</v>
      </c>
      <c r="C75" s="9"/>
      <c r="D75" s="9" t="s">
        <v>22</v>
      </c>
      <c r="E75" s="9"/>
      <c r="F75" s="9"/>
      <c r="G75" s="9"/>
      <c r="H75" s="9"/>
      <c r="I75" s="8" t="s">
        <v>734</v>
      </c>
    </row>
    <row r="76" customFormat="false" ht="15" hidden="false" customHeight="false" outlineLevel="0" collapsed="false">
      <c r="B76" s="0" t="s">
        <v>731</v>
      </c>
      <c r="D76" s="60" t="n">
        <v>46203</v>
      </c>
      <c r="I76" s="2" t="s">
        <v>756</v>
      </c>
    </row>
    <row r="77" customFormat="false" ht="15" hidden="false" customHeight="false" outlineLevel="0" collapsed="false">
      <c r="B77" s="0" t="s">
        <v>422</v>
      </c>
      <c r="D77" s="61" t="n">
        <v>4072.366</v>
      </c>
      <c r="I77" s="2" t="s">
        <v>757</v>
      </c>
    </row>
    <row r="78" customFormat="false" ht="15" hidden="false" customHeight="false" outlineLevel="0" collapsed="false">
      <c r="B78" s="0" t="s">
        <v>732</v>
      </c>
      <c r="D78" s="62" t="n">
        <v>67.64</v>
      </c>
      <c r="I78" s="2" t="s">
        <v>758</v>
      </c>
    </row>
    <row r="79" customFormat="false" ht="15" hidden="false" customHeight="false" outlineLevel="0" collapsed="false">
      <c r="B79" s="0" t="s">
        <v>378</v>
      </c>
      <c r="D79" s="56" t="n">
        <v>275454.8362</v>
      </c>
      <c r="I79" s="2" t="s">
        <v>759</v>
      </c>
    </row>
    <row r="80" customFormat="false" ht="15" hidden="false" customHeight="false" outlineLevel="0" collapsed="false">
      <c r="B80" s="0" t="s">
        <v>733</v>
      </c>
      <c r="D80" s="63" t="s">
        <v>760</v>
      </c>
      <c r="I80" s="2" t="s">
        <v>761</v>
      </c>
    </row>
    <row r="83" customFormat="false" ht="16.15" hidden="false" customHeight="false" outlineLevel="0" collapsed="false">
      <c r="B83" s="47" t="s">
        <v>9</v>
      </c>
    </row>
    <row r="84" customFormat="false" ht="15" hidden="false" customHeight="false" outlineLevel="0" collapsed="false">
      <c r="B84" s="8" t="s">
        <v>712</v>
      </c>
      <c r="C84" s="9" t="s">
        <v>713</v>
      </c>
      <c r="D84" s="9" t="s">
        <v>13</v>
      </c>
      <c r="E84" s="9" t="s">
        <v>8</v>
      </c>
      <c r="F84" s="9" t="s">
        <v>14</v>
      </c>
      <c r="G84" s="9"/>
      <c r="H84" s="9"/>
      <c r="I84" s="8" t="s">
        <v>734</v>
      </c>
    </row>
    <row r="85" customFormat="false" ht="15" hidden="false" customHeight="false" outlineLevel="0" collapsed="false">
      <c r="B85" s="0" t="s">
        <v>714</v>
      </c>
      <c r="C85" s="12" t="n">
        <v>0.0069</v>
      </c>
      <c r="D85" s="12" t="n">
        <v>0</v>
      </c>
      <c r="E85" s="12" t="n">
        <v>0.0378</v>
      </c>
      <c r="F85" s="12" t="n">
        <v>0.0778</v>
      </c>
      <c r="I85" s="2" t="s">
        <v>762</v>
      </c>
    </row>
    <row r="86" customFormat="false" ht="15" hidden="false" customHeight="false" outlineLevel="0" collapsed="false">
      <c r="B86" s="0" t="s">
        <v>18</v>
      </c>
      <c r="C86" s="12" t="n">
        <v>0.1713</v>
      </c>
      <c r="D86" s="12" t="n">
        <v>0.1884</v>
      </c>
      <c r="E86" s="12" t="n">
        <v>0.2002</v>
      </c>
      <c r="F86" s="12" t="n">
        <v>0.237</v>
      </c>
      <c r="I86" s="2" t="s">
        <v>736</v>
      </c>
    </row>
    <row r="87" customFormat="false" ht="15" hidden="false" customHeight="false" outlineLevel="0" collapsed="false">
      <c r="B87" s="0" t="s">
        <v>715</v>
      </c>
      <c r="D87" s="55" t="n">
        <v>0.0156</v>
      </c>
      <c r="E87" s="55" t="n">
        <v>0</v>
      </c>
      <c r="F87" s="55" t="n">
        <v>-0.0156</v>
      </c>
      <c r="I87" s="2" t="s">
        <v>737</v>
      </c>
    </row>
    <row r="89" customFormat="false" ht="15" hidden="false" customHeight="false" outlineLevel="0" collapsed="false">
      <c r="B89" s="8" t="s">
        <v>716</v>
      </c>
      <c r="C89" s="9"/>
      <c r="D89" s="9" t="s">
        <v>246</v>
      </c>
      <c r="E89" s="9" t="s">
        <v>247</v>
      </c>
      <c r="F89" s="9" t="s">
        <v>248</v>
      </c>
      <c r="G89" s="9" t="s">
        <v>249</v>
      </c>
      <c r="H89" s="9" t="s">
        <v>250</v>
      </c>
      <c r="I89" s="8" t="s">
        <v>734</v>
      </c>
    </row>
    <row r="90" customFormat="false" ht="15" hidden="false" customHeight="false" outlineLevel="0" collapsed="false">
      <c r="B90" s="0" t="s">
        <v>717</v>
      </c>
      <c r="D90" s="12" t="n">
        <v>0.2146</v>
      </c>
      <c r="E90" s="12" t="n">
        <v>0.2001</v>
      </c>
      <c r="F90" s="12" t="n">
        <v>0.1857</v>
      </c>
      <c r="G90" s="12" t="n">
        <v>0.1713</v>
      </c>
      <c r="H90" s="12" t="n">
        <v>0.1569</v>
      </c>
      <c r="I90" s="2" t="s">
        <v>738</v>
      </c>
    </row>
    <row r="91" customFormat="false" ht="15" hidden="false" customHeight="false" outlineLevel="0" collapsed="false">
      <c r="B91" s="0" t="s">
        <v>718</v>
      </c>
      <c r="D91" s="56" t="n">
        <v>351.131</v>
      </c>
      <c r="E91" s="56" t="n">
        <v>351.131</v>
      </c>
      <c r="F91" s="56" t="n">
        <v>351.131</v>
      </c>
      <c r="G91" s="56" t="n">
        <v>351.131</v>
      </c>
      <c r="H91" s="56" t="n">
        <v>351.131</v>
      </c>
      <c r="I91" s="2" t="s">
        <v>739</v>
      </c>
    </row>
    <row r="92" customFormat="false" ht="15" hidden="false" customHeight="false" outlineLevel="0" collapsed="false">
      <c r="B92" s="0" t="s">
        <v>719</v>
      </c>
      <c r="D92" s="12" t="n">
        <v>0.1326</v>
      </c>
      <c r="E92" s="12" t="n">
        <v>0.1237</v>
      </c>
      <c r="F92" s="12" t="n">
        <v>0.1148</v>
      </c>
      <c r="G92" s="12" t="n">
        <v>0.1059</v>
      </c>
      <c r="H92" s="12" t="n">
        <v>0.097</v>
      </c>
      <c r="I92" s="2" t="s">
        <v>740</v>
      </c>
    </row>
    <row r="93" customFormat="false" ht="15" hidden="false" customHeight="false" outlineLevel="0" collapsed="false">
      <c r="B93" s="0" t="s">
        <v>720</v>
      </c>
      <c r="D93" s="12" t="n">
        <v>0.0983</v>
      </c>
      <c r="E93" s="12" t="n">
        <v>0.0983</v>
      </c>
      <c r="F93" s="12" t="n">
        <v>0.0983</v>
      </c>
      <c r="G93" s="12" t="n">
        <v>0.0983</v>
      </c>
      <c r="H93" s="12" t="n">
        <v>0.0983</v>
      </c>
      <c r="I93" s="2" t="s">
        <v>739</v>
      </c>
    </row>
    <row r="94" customFormat="false" ht="15" hidden="false" customHeight="false" outlineLevel="0" collapsed="false">
      <c r="B94" s="0" t="s">
        <v>219</v>
      </c>
      <c r="D94" s="57" t="n">
        <v>19.5303</v>
      </c>
      <c r="E94" s="57" t="n">
        <v>19.5303</v>
      </c>
      <c r="F94" s="57" t="n">
        <v>19.5303</v>
      </c>
      <c r="G94" s="57" t="n">
        <v>19.5303</v>
      </c>
      <c r="H94" s="57" t="n">
        <v>19.5303</v>
      </c>
      <c r="I94" s="2" t="s">
        <v>741</v>
      </c>
    </row>
    <row r="95" customFormat="false" ht="15" hidden="false" customHeight="false" outlineLevel="0" collapsed="false">
      <c r="B95" s="0" t="s">
        <v>221</v>
      </c>
      <c r="D95" s="57" t="n">
        <v>135.0709</v>
      </c>
      <c r="E95" s="57" t="n">
        <v>135.0709</v>
      </c>
      <c r="F95" s="57" t="n">
        <v>135.0709</v>
      </c>
      <c r="G95" s="57" t="n">
        <v>135.0709</v>
      </c>
      <c r="H95" s="57" t="n">
        <v>135.0709</v>
      </c>
      <c r="I95" s="2" t="s">
        <v>741</v>
      </c>
    </row>
    <row r="96" customFormat="false" ht="15" hidden="false" customHeight="false" outlineLevel="0" collapsed="false">
      <c r="B96" s="0" t="s">
        <v>223</v>
      </c>
      <c r="D96" s="57" t="n">
        <v>92.5353</v>
      </c>
      <c r="E96" s="57" t="n">
        <v>92.5353</v>
      </c>
      <c r="F96" s="57" t="n">
        <v>92.5353</v>
      </c>
      <c r="G96" s="57" t="n">
        <v>92.5353</v>
      </c>
      <c r="H96" s="57" t="n">
        <v>92.5353</v>
      </c>
      <c r="I96" s="2" t="s">
        <v>741</v>
      </c>
    </row>
    <row r="97" customFormat="false" ht="15" hidden="false" customHeight="false" outlineLevel="0" collapsed="false">
      <c r="B97" s="0" t="s">
        <v>721</v>
      </c>
      <c r="D97" s="56" t="n">
        <v>0</v>
      </c>
      <c r="E97" s="56" t="n">
        <v>0</v>
      </c>
      <c r="F97" s="56" t="n">
        <v>0</v>
      </c>
      <c r="G97" s="56" t="n">
        <v>0</v>
      </c>
      <c r="H97" s="56" t="n">
        <v>0</v>
      </c>
      <c r="I97" s="2" t="s">
        <v>742</v>
      </c>
    </row>
    <row r="99" customFormat="false" ht="15" hidden="false" customHeight="false" outlineLevel="0" collapsed="false">
      <c r="B99" s="8" t="s">
        <v>722</v>
      </c>
      <c r="C99" s="9"/>
      <c r="D99" s="9" t="s">
        <v>22</v>
      </c>
      <c r="E99" s="9"/>
      <c r="F99" s="9"/>
      <c r="G99" s="9"/>
      <c r="H99" s="9"/>
      <c r="I99" s="8" t="s">
        <v>734</v>
      </c>
    </row>
    <row r="100" customFormat="false" ht="15" hidden="false" customHeight="false" outlineLevel="0" collapsed="false">
      <c r="B100" s="0" t="s">
        <v>360</v>
      </c>
      <c r="D100" s="12" t="n">
        <v>0.34</v>
      </c>
      <c r="I100" s="2" t="s">
        <v>743</v>
      </c>
    </row>
    <row r="101" customFormat="false" ht="15" hidden="false" customHeight="false" outlineLevel="0" collapsed="false">
      <c r="B101" s="0" t="s">
        <v>723</v>
      </c>
      <c r="D101" s="12" t="n">
        <v>0.0777</v>
      </c>
      <c r="I101" s="2" t="s">
        <v>763</v>
      </c>
    </row>
    <row r="102" customFormat="false" ht="15" hidden="false" customHeight="false" outlineLevel="0" collapsed="false">
      <c r="B102" s="0" t="s">
        <v>724</v>
      </c>
      <c r="D102" s="12" t="n">
        <v>0.1291</v>
      </c>
      <c r="I102" s="2" t="s">
        <v>764</v>
      </c>
    </row>
    <row r="103" customFormat="false" ht="15" hidden="false" customHeight="false" outlineLevel="0" collapsed="false">
      <c r="B103" s="0" t="s">
        <v>491</v>
      </c>
      <c r="D103" s="12" t="n">
        <v>0.0772</v>
      </c>
      <c r="I103" s="2" t="s">
        <v>746</v>
      </c>
    </row>
    <row r="104" customFormat="false" ht="15" hidden="false" customHeight="false" outlineLevel="0" collapsed="false">
      <c r="B104" s="0" t="s">
        <v>725</v>
      </c>
      <c r="D104" s="12" t="n">
        <v>0.242</v>
      </c>
      <c r="I104" s="2" t="s">
        <v>747</v>
      </c>
    </row>
    <row r="105" customFormat="false" ht="15" hidden="false" customHeight="false" outlineLevel="0" collapsed="false">
      <c r="B105" s="0" t="s">
        <v>347</v>
      </c>
      <c r="D105" s="12" t="n">
        <v>0.1291</v>
      </c>
      <c r="I105" s="2" t="s">
        <v>748</v>
      </c>
    </row>
    <row r="106" customFormat="false" ht="15" hidden="false" customHeight="false" outlineLevel="0" collapsed="false">
      <c r="B106" s="0" t="s">
        <v>349</v>
      </c>
      <c r="D106" s="58" t="n">
        <v>1.483</v>
      </c>
      <c r="I106" s="2" t="s">
        <v>765</v>
      </c>
    </row>
    <row r="107" customFormat="false" ht="15" hidden="false" customHeight="false" outlineLevel="0" collapsed="false">
      <c r="B107" s="0" t="s">
        <v>351</v>
      </c>
      <c r="D107" s="12" t="n">
        <v>0.0423</v>
      </c>
      <c r="I107" s="2" t="s">
        <v>750</v>
      </c>
    </row>
    <row r="108" customFormat="false" ht="15" hidden="false" customHeight="false" outlineLevel="0" collapsed="false">
      <c r="B108" s="0" t="s">
        <v>726</v>
      </c>
      <c r="D108" s="12" t="n">
        <v>0</v>
      </c>
      <c r="I108" s="2" t="s">
        <v>751</v>
      </c>
    </row>
    <row r="109" customFormat="false" ht="15" hidden="false" customHeight="false" outlineLevel="0" collapsed="false">
      <c r="B109" s="0" t="s">
        <v>727</v>
      </c>
      <c r="D109" s="12" t="n">
        <v>0.8635</v>
      </c>
      <c r="I109" s="2" t="s">
        <v>752</v>
      </c>
    </row>
    <row r="110" customFormat="false" ht="15" hidden="false" customHeight="false" outlineLevel="0" collapsed="false">
      <c r="B110" s="0" t="s">
        <v>401</v>
      </c>
      <c r="D110" s="12" t="n">
        <v>0.035</v>
      </c>
      <c r="I110" s="2" t="s">
        <v>753</v>
      </c>
    </row>
    <row r="111" customFormat="false" ht="15" hidden="false" customHeight="false" outlineLevel="0" collapsed="false">
      <c r="B111" s="0" t="s">
        <v>728</v>
      </c>
      <c r="D111" s="59" t="n">
        <v>1</v>
      </c>
      <c r="I111" s="2" t="s">
        <v>754</v>
      </c>
    </row>
    <row r="112" customFormat="false" ht="15" hidden="false" customHeight="false" outlineLevel="0" collapsed="false">
      <c r="B112" s="0" t="s">
        <v>729</v>
      </c>
      <c r="D112" s="56" t="n">
        <v>0</v>
      </c>
      <c r="I112" s="2" t="s">
        <v>755</v>
      </c>
    </row>
    <row r="114" customFormat="false" ht="15" hidden="false" customHeight="false" outlineLevel="0" collapsed="false">
      <c r="B114" s="8" t="s">
        <v>730</v>
      </c>
      <c r="C114" s="9"/>
      <c r="D114" s="9" t="s">
        <v>22</v>
      </c>
      <c r="E114" s="9"/>
      <c r="F114" s="9"/>
      <c r="G114" s="9"/>
      <c r="H114" s="9"/>
      <c r="I114" s="8" t="s">
        <v>734</v>
      </c>
    </row>
    <row r="115" customFormat="false" ht="15" hidden="false" customHeight="false" outlineLevel="0" collapsed="false">
      <c r="B115" s="0" t="s">
        <v>731</v>
      </c>
      <c r="D115" s="60" t="n">
        <v>46203</v>
      </c>
      <c r="I115" s="2" t="s">
        <v>756</v>
      </c>
    </row>
    <row r="116" customFormat="false" ht="15" hidden="false" customHeight="false" outlineLevel="0" collapsed="false">
      <c r="B116" s="0" t="s">
        <v>422</v>
      </c>
      <c r="D116" s="61" t="n">
        <v>1326.0939</v>
      </c>
      <c r="I116" s="2" t="s">
        <v>757</v>
      </c>
    </row>
    <row r="117" customFormat="false" ht="15" hidden="false" customHeight="false" outlineLevel="0" collapsed="false">
      <c r="B117" s="0" t="s">
        <v>732</v>
      </c>
      <c r="D117" s="62" t="n">
        <v>6.36</v>
      </c>
      <c r="I117" s="2" t="s">
        <v>758</v>
      </c>
    </row>
    <row r="118" customFormat="false" ht="15" hidden="false" customHeight="false" outlineLevel="0" collapsed="false">
      <c r="B118" s="0" t="s">
        <v>378</v>
      </c>
      <c r="D118" s="56" t="n">
        <v>8433.9575</v>
      </c>
      <c r="I118" s="2" t="s">
        <v>759</v>
      </c>
    </row>
    <row r="119" customFormat="false" ht="15" hidden="false" customHeight="false" outlineLevel="0" collapsed="false">
      <c r="B119" s="0" t="s">
        <v>733</v>
      </c>
      <c r="D119" s="63" t="s">
        <v>760</v>
      </c>
      <c r="I119" s="2" t="s">
        <v>761</v>
      </c>
    </row>
    <row r="122" customFormat="false" ht="16.15" hidden="false" customHeight="false" outlineLevel="0" collapsed="false">
      <c r="B122" s="47" t="s">
        <v>10</v>
      </c>
    </row>
    <row r="123" customFormat="false" ht="15" hidden="false" customHeight="false" outlineLevel="0" collapsed="false">
      <c r="B123" s="8" t="s">
        <v>712</v>
      </c>
      <c r="C123" s="9" t="s">
        <v>713</v>
      </c>
      <c r="D123" s="9" t="s">
        <v>13</v>
      </c>
      <c r="E123" s="9" t="s">
        <v>8</v>
      </c>
      <c r="F123" s="9" t="s">
        <v>14</v>
      </c>
      <c r="G123" s="9"/>
      <c r="H123" s="9"/>
      <c r="I123" s="8" t="s">
        <v>734</v>
      </c>
    </row>
    <row r="124" customFormat="false" ht="15" hidden="false" customHeight="false" outlineLevel="0" collapsed="false">
      <c r="B124" s="0" t="s">
        <v>714</v>
      </c>
      <c r="C124" s="12" t="n">
        <v>-0.0045</v>
      </c>
      <c r="D124" s="12" t="n">
        <v>0</v>
      </c>
      <c r="E124" s="12" t="n">
        <v>0.0378</v>
      </c>
      <c r="F124" s="12" t="n">
        <v>0.061</v>
      </c>
      <c r="I124" s="2" t="s">
        <v>766</v>
      </c>
    </row>
    <row r="125" customFormat="false" ht="15" hidden="false" customHeight="false" outlineLevel="0" collapsed="false">
      <c r="B125" s="0" t="s">
        <v>18</v>
      </c>
      <c r="C125" s="12" t="n">
        <v>0.1538</v>
      </c>
      <c r="D125" s="12" t="n">
        <v>0.1613</v>
      </c>
      <c r="E125" s="12" t="n">
        <v>0.1971</v>
      </c>
      <c r="F125" s="12" t="n">
        <v>0.2506</v>
      </c>
      <c r="I125" s="2" t="s">
        <v>736</v>
      </c>
    </row>
    <row r="126" customFormat="false" ht="15" hidden="false" customHeight="false" outlineLevel="0" collapsed="false">
      <c r="B126" s="0" t="s">
        <v>715</v>
      </c>
      <c r="D126" s="55" t="n">
        <v>0.0156</v>
      </c>
      <c r="E126" s="55" t="n">
        <v>0</v>
      </c>
      <c r="F126" s="55" t="n">
        <v>-0.0156</v>
      </c>
      <c r="I126" s="2" t="s">
        <v>737</v>
      </c>
    </row>
    <row r="128" customFormat="false" ht="15" hidden="false" customHeight="false" outlineLevel="0" collapsed="false">
      <c r="B128" s="8" t="s">
        <v>716</v>
      </c>
      <c r="C128" s="9"/>
      <c r="D128" s="9" t="s">
        <v>246</v>
      </c>
      <c r="E128" s="9" t="s">
        <v>247</v>
      </c>
      <c r="F128" s="9" t="s">
        <v>248</v>
      </c>
      <c r="G128" s="9" t="s">
        <v>249</v>
      </c>
      <c r="H128" s="9" t="s">
        <v>250</v>
      </c>
      <c r="I128" s="8" t="s">
        <v>734</v>
      </c>
    </row>
    <row r="129" customFormat="false" ht="15" hidden="false" customHeight="false" outlineLevel="0" collapsed="false">
      <c r="B129" s="0" t="s">
        <v>717</v>
      </c>
      <c r="D129" s="12" t="n">
        <v>0.0332</v>
      </c>
      <c r="E129" s="12" t="n">
        <v>0.0315</v>
      </c>
      <c r="F129" s="12" t="n">
        <v>0.0297</v>
      </c>
      <c r="G129" s="12" t="n">
        <v>0.0279</v>
      </c>
      <c r="H129" s="12" t="n">
        <v>0.0261</v>
      </c>
      <c r="I129" s="2" t="s">
        <v>738</v>
      </c>
    </row>
    <row r="130" customFormat="false" ht="15" hidden="false" customHeight="false" outlineLevel="0" collapsed="false">
      <c r="B130" s="0" t="s">
        <v>718</v>
      </c>
      <c r="D130" s="56" t="n">
        <v>563.158</v>
      </c>
      <c r="E130" s="56" t="n">
        <v>563.158</v>
      </c>
      <c r="F130" s="56" t="n">
        <v>563.158</v>
      </c>
      <c r="G130" s="56" t="n">
        <v>563.158</v>
      </c>
      <c r="H130" s="56" t="n">
        <v>563.158</v>
      </c>
      <c r="I130" s="2" t="s">
        <v>739</v>
      </c>
    </row>
    <row r="131" customFormat="false" ht="15" hidden="false" customHeight="false" outlineLevel="0" collapsed="false">
      <c r="B131" s="0" t="s">
        <v>719</v>
      </c>
      <c r="D131" s="12" t="n">
        <v>0.0779</v>
      </c>
      <c r="E131" s="12" t="n">
        <v>0.0773</v>
      </c>
      <c r="F131" s="12" t="n">
        <v>0.0767</v>
      </c>
      <c r="G131" s="12" t="n">
        <v>0.0762</v>
      </c>
      <c r="H131" s="12" t="n">
        <v>0.0756</v>
      </c>
      <c r="I131" s="2" t="s">
        <v>740</v>
      </c>
    </row>
    <row r="132" customFormat="false" ht="15" hidden="false" customHeight="false" outlineLevel="0" collapsed="false">
      <c r="B132" s="0" t="s">
        <v>720</v>
      </c>
      <c r="D132" s="12" t="n">
        <v>0.0887</v>
      </c>
      <c r="E132" s="12" t="n">
        <v>0.0887</v>
      </c>
      <c r="F132" s="12" t="n">
        <v>0.0887</v>
      </c>
      <c r="G132" s="12" t="n">
        <v>0.0887</v>
      </c>
      <c r="H132" s="12" t="n">
        <v>0.0887</v>
      </c>
      <c r="I132" s="2" t="s">
        <v>739</v>
      </c>
    </row>
    <row r="133" customFormat="false" ht="15" hidden="false" customHeight="false" outlineLevel="0" collapsed="false">
      <c r="B133" s="0" t="s">
        <v>219</v>
      </c>
      <c r="D133" s="57" t="n">
        <v>25.1348</v>
      </c>
      <c r="E133" s="57" t="n">
        <v>25.1348</v>
      </c>
      <c r="F133" s="57" t="n">
        <v>25.1348</v>
      </c>
      <c r="G133" s="57" t="n">
        <v>25.1348</v>
      </c>
      <c r="H133" s="57" t="n">
        <v>25.1348</v>
      </c>
      <c r="I133" s="2" t="s">
        <v>741</v>
      </c>
    </row>
    <row r="134" customFormat="false" ht="15" hidden="false" customHeight="false" outlineLevel="0" collapsed="false">
      <c r="B134" s="0" t="s">
        <v>221</v>
      </c>
      <c r="D134" s="57" t="n">
        <v>92.3738</v>
      </c>
      <c r="E134" s="57" t="n">
        <v>92.3738</v>
      </c>
      <c r="F134" s="57" t="n">
        <v>92.3738</v>
      </c>
      <c r="G134" s="57" t="n">
        <v>92.3738</v>
      </c>
      <c r="H134" s="57" t="n">
        <v>92.3738</v>
      </c>
      <c r="I134" s="2" t="s">
        <v>741</v>
      </c>
    </row>
    <row r="135" customFormat="false" ht="15" hidden="false" customHeight="false" outlineLevel="0" collapsed="false">
      <c r="B135" s="0" t="s">
        <v>223</v>
      </c>
      <c r="D135" s="57" t="n">
        <v>31.414</v>
      </c>
      <c r="E135" s="57" t="n">
        <v>31.414</v>
      </c>
      <c r="F135" s="57" t="n">
        <v>31.414</v>
      </c>
      <c r="G135" s="57" t="n">
        <v>31.414</v>
      </c>
      <c r="H135" s="57" t="n">
        <v>31.414</v>
      </c>
      <c r="I135" s="2" t="s">
        <v>741</v>
      </c>
    </row>
    <row r="136" customFormat="false" ht="15" hidden="false" customHeight="false" outlineLevel="0" collapsed="false">
      <c r="B136" s="0" t="s">
        <v>721</v>
      </c>
      <c r="D136" s="56" t="n">
        <v>0</v>
      </c>
      <c r="E136" s="56" t="n">
        <v>0</v>
      </c>
      <c r="F136" s="56" t="n">
        <v>0</v>
      </c>
      <c r="G136" s="56" t="n">
        <v>0</v>
      </c>
      <c r="H136" s="56" t="n">
        <v>0</v>
      </c>
      <c r="I136" s="2" t="s">
        <v>742</v>
      </c>
    </row>
    <row r="138" customFormat="false" ht="15" hidden="false" customHeight="false" outlineLevel="0" collapsed="false">
      <c r="B138" s="8" t="s">
        <v>722</v>
      </c>
      <c r="C138" s="9"/>
      <c r="D138" s="9" t="s">
        <v>22</v>
      </c>
      <c r="E138" s="9"/>
      <c r="F138" s="9"/>
      <c r="G138" s="9"/>
      <c r="H138" s="9"/>
      <c r="I138" s="8" t="s">
        <v>734</v>
      </c>
    </row>
    <row r="139" customFormat="false" ht="15" hidden="false" customHeight="false" outlineLevel="0" collapsed="false">
      <c r="B139" s="0" t="s">
        <v>360</v>
      </c>
      <c r="D139" s="12" t="n">
        <v>0.34</v>
      </c>
      <c r="I139" s="2" t="s">
        <v>743</v>
      </c>
    </row>
    <row r="140" customFormat="false" ht="15" hidden="false" customHeight="false" outlineLevel="0" collapsed="false">
      <c r="B140" s="0" t="s">
        <v>723</v>
      </c>
      <c r="D140" s="12" t="n">
        <v>0.0955</v>
      </c>
      <c r="I140" s="2" t="s">
        <v>767</v>
      </c>
    </row>
    <row r="141" customFormat="false" ht="15" hidden="false" customHeight="false" outlineLevel="0" collapsed="false">
      <c r="B141" s="0" t="s">
        <v>724</v>
      </c>
      <c r="D141" s="12" t="n">
        <v>0.1039</v>
      </c>
      <c r="I141" s="2" t="s">
        <v>768</v>
      </c>
    </row>
    <row r="142" customFormat="false" ht="15" hidden="false" customHeight="false" outlineLevel="0" collapsed="false">
      <c r="B142" s="0" t="s">
        <v>491</v>
      </c>
      <c r="D142" s="12" t="n">
        <v>0.1235</v>
      </c>
      <c r="I142" s="2" t="s">
        <v>746</v>
      </c>
    </row>
    <row r="143" customFormat="false" ht="15" hidden="false" customHeight="false" outlineLevel="0" collapsed="false">
      <c r="B143" s="0" t="s">
        <v>725</v>
      </c>
      <c r="D143" s="12" t="n">
        <v>0.3602</v>
      </c>
      <c r="I143" s="2" t="s">
        <v>747</v>
      </c>
    </row>
    <row r="144" customFormat="false" ht="15" hidden="false" customHeight="false" outlineLevel="0" collapsed="false">
      <c r="B144" s="0" t="s">
        <v>347</v>
      </c>
      <c r="D144" s="12" t="n">
        <v>0.1291</v>
      </c>
      <c r="I144" s="2" t="s">
        <v>748</v>
      </c>
    </row>
    <row r="145" customFormat="false" ht="15" hidden="false" customHeight="false" outlineLevel="0" collapsed="false">
      <c r="B145" s="0" t="s">
        <v>349</v>
      </c>
      <c r="D145" s="58" t="n">
        <v>0.7921</v>
      </c>
      <c r="I145" s="2" t="s">
        <v>769</v>
      </c>
    </row>
    <row r="146" customFormat="false" ht="15" hidden="false" customHeight="false" outlineLevel="0" collapsed="false">
      <c r="B146" s="0" t="s">
        <v>351</v>
      </c>
      <c r="D146" s="12" t="n">
        <v>0.0423</v>
      </c>
      <c r="I146" s="2" t="s">
        <v>750</v>
      </c>
    </row>
    <row r="147" customFormat="false" ht="15" hidden="false" customHeight="false" outlineLevel="0" collapsed="false">
      <c r="B147" s="0" t="s">
        <v>726</v>
      </c>
      <c r="D147" s="12" t="n">
        <v>0</v>
      </c>
      <c r="I147" s="2" t="s">
        <v>751</v>
      </c>
    </row>
    <row r="148" customFormat="false" ht="15" hidden="false" customHeight="false" outlineLevel="0" collapsed="false">
      <c r="B148" s="0" t="s">
        <v>727</v>
      </c>
      <c r="D148" s="12" t="n">
        <v>0.2273</v>
      </c>
      <c r="I148" s="2" t="s">
        <v>752</v>
      </c>
    </row>
    <row r="149" customFormat="false" ht="15" hidden="false" customHeight="false" outlineLevel="0" collapsed="false">
      <c r="B149" s="0" t="s">
        <v>401</v>
      </c>
      <c r="D149" s="12" t="n">
        <v>0.035</v>
      </c>
      <c r="I149" s="2" t="s">
        <v>753</v>
      </c>
    </row>
    <row r="150" customFormat="false" ht="15" hidden="false" customHeight="false" outlineLevel="0" collapsed="false">
      <c r="B150" s="0" t="s">
        <v>728</v>
      </c>
      <c r="D150" s="59" t="n">
        <v>1</v>
      </c>
      <c r="I150" s="2" t="s">
        <v>754</v>
      </c>
    </row>
    <row r="151" customFormat="false" ht="15" hidden="false" customHeight="false" outlineLevel="0" collapsed="false">
      <c r="B151" s="0" t="s">
        <v>729</v>
      </c>
      <c r="D151" s="56" t="n">
        <v>0</v>
      </c>
      <c r="I151" s="2" t="s">
        <v>755</v>
      </c>
    </row>
    <row r="153" customFormat="false" ht="15" hidden="false" customHeight="false" outlineLevel="0" collapsed="false">
      <c r="B153" s="8" t="s">
        <v>730</v>
      </c>
      <c r="C153" s="9"/>
      <c r="D153" s="9" t="s">
        <v>22</v>
      </c>
      <c r="E153" s="9"/>
      <c r="F153" s="9"/>
      <c r="G153" s="9"/>
      <c r="H153" s="9"/>
      <c r="I153" s="8" t="s">
        <v>734</v>
      </c>
    </row>
    <row r="154" customFormat="false" ht="15" hidden="false" customHeight="false" outlineLevel="0" collapsed="false">
      <c r="B154" s="0" t="s">
        <v>731</v>
      </c>
      <c r="D154" s="60" t="n">
        <v>46203</v>
      </c>
      <c r="I154" s="2" t="s">
        <v>756</v>
      </c>
    </row>
    <row r="155" customFormat="false" ht="15" hidden="false" customHeight="false" outlineLevel="0" collapsed="false">
      <c r="B155" s="0" t="s">
        <v>422</v>
      </c>
      <c r="D155" s="61" t="n">
        <v>1963.1806</v>
      </c>
      <c r="I155" s="2" t="s">
        <v>757</v>
      </c>
    </row>
    <row r="156" customFormat="false" ht="15" hidden="false" customHeight="false" outlineLevel="0" collapsed="false">
      <c r="B156" s="0" t="s">
        <v>732</v>
      </c>
      <c r="D156" s="62" t="n">
        <v>24.77</v>
      </c>
      <c r="I156" s="2" t="s">
        <v>758</v>
      </c>
    </row>
    <row r="157" customFormat="false" ht="15" hidden="false" customHeight="false" outlineLevel="0" collapsed="false">
      <c r="B157" s="0" t="s">
        <v>378</v>
      </c>
      <c r="D157" s="56" t="n">
        <v>46089.0479</v>
      </c>
      <c r="I157" s="2" t="s">
        <v>759</v>
      </c>
    </row>
    <row r="158" customFormat="false" ht="15" hidden="false" customHeight="false" outlineLevel="0" collapsed="false">
      <c r="B158" s="0" t="s">
        <v>733</v>
      </c>
      <c r="D158" s="63" t="s">
        <v>760</v>
      </c>
      <c r="I158" s="2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11" min="3" style="0" width="13"/>
  </cols>
  <sheetData>
    <row r="1" customFormat="false" ht="17.35" hidden="false" customHeight="false" outlineLevel="0" collapsed="false">
      <c r="B1" s="1" t="s">
        <v>770</v>
      </c>
    </row>
    <row r="2" customFormat="false" ht="15" hidden="false" customHeight="false" outlineLevel="0" collapsed="false">
      <c r="B2" s="2" t="s">
        <v>771</v>
      </c>
    </row>
    <row r="4" customFormat="false" ht="16.15" hidden="false" customHeight="false" outlineLevel="0" collapsed="false">
      <c r="B4" s="47" t="s">
        <v>5</v>
      </c>
    </row>
    <row r="5" customFormat="false" ht="15" hidden="false" customHeight="false" outlineLevel="0" collapsed="false">
      <c r="B5" s="13" t="s">
        <v>108</v>
      </c>
      <c r="C5" s="13" t="s">
        <v>109</v>
      </c>
      <c r="D5" s="13" t="s">
        <v>110</v>
      </c>
      <c r="E5" s="13" t="s">
        <v>111</v>
      </c>
      <c r="F5" s="13" t="s">
        <v>112</v>
      </c>
      <c r="G5" s="13" t="s">
        <v>113</v>
      </c>
      <c r="H5" s="13" t="s">
        <v>114</v>
      </c>
      <c r="I5" s="13" t="s">
        <v>115</v>
      </c>
      <c r="J5" s="13" t="s">
        <v>116</v>
      </c>
      <c r="K5" s="13" t="s">
        <v>117</v>
      </c>
    </row>
    <row r="6" customFormat="false" ht="15" hidden="false" customHeight="false" outlineLevel="0" collapsed="false">
      <c r="B6" s="0" t="s">
        <v>119</v>
      </c>
      <c r="C6" s="17" t="n">
        <v>134483.126</v>
      </c>
      <c r="D6" s="17" t="n">
        <v>148639.921</v>
      </c>
      <c r="E6" s="17" t="n">
        <v>208528.759</v>
      </c>
      <c r="F6" s="17" t="n">
        <v>293524</v>
      </c>
      <c r="G6" s="17" t="n">
        <v>226508</v>
      </c>
      <c r="H6" s="17" t="n">
        <v>208066</v>
      </c>
      <c r="I6" s="17" t="n">
        <v>206005</v>
      </c>
      <c r="J6" s="17" t="n">
        <v>213595</v>
      </c>
      <c r="K6" s="17" t="n">
        <v>218069</v>
      </c>
    </row>
    <row r="7" customFormat="false" ht="15" hidden="false" customHeight="false" outlineLevel="0" collapsed="false">
      <c r="B7" s="0" t="s">
        <v>121</v>
      </c>
      <c r="C7" s="17" t="n">
        <v>-81200.904</v>
      </c>
      <c r="D7" s="17" t="n">
        <v>-83835.563</v>
      </c>
      <c r="E7" s="17" t="n">
        <v>-98567.494</v>
      </c>
      <c r="F7" s="17" t="n">
        <v>-117267</v>
      </c>
      <c r="G7" s="17" t="n">
        <v>-124195</v>
      </c>
      <c r="H7" s="17" t="n">
        <v>-120016</v>
      </c>
      <c r="I7" s="17" t="n">
        <v>-131318</v>
      </c>
      <c r="J7" s="17" t="n">
        <v>-138887</v>
      </c>
      <c r="K7" s="17" t="n">
        <v>-141911</v>
      </c>
    </row>
    <row r="8" customFormat="false" ht="15" hidden="false" customHeight="false" outlineLevel="0" collapsed="false">
      <c r="B8" s="0" t="s">
        <v>123</v>
      </c>
      <c r="C8" s="17" t="n">
        <v>53282.222</v>
      </c>
      <c r="D8" s="17" t="n">
        <v>64804.358</v>
      </c>
      <c r="E8" s="17" t="n">
        <v>109961.265</v>
      </c>
      <c r="F8" s="17" t="n">
        <v>176257</v>
      </c>
      <c r="G8" s="17" t="n">
        <v>102313</v>
      </c>
      <c r="H8" s="17" t="n">
        <v>88050</v>
      </c>
      <c r="I8" s="17" t="n">
        <v>74687</v>
      </c>
      <c r="J8" s="17" t="n">
        <v>74708</v>
      </c>
      <c r="K8" s="17" t="n">
        <v>76158</v>
      </c>
    </row>
    <row r="9" customFormat="false" ht="15" hidden="false" customHeight="false" outlineLevel="0" collapsed="false">
      <c r="B9" s="0" t="s">
        <v>125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</row>
    <row r="10" customFormat="false" ht="15" hidden="false" customHeight="false" outlineLevel="0" collapsed="false">
      <c r="B10" s="0" t="s">
        <v>127</v>
      </c>
      <c r="C10" s="17" t="n">
        <v>-1916.765</v>
      </c>
      <c r="D10" s="17" t="n">
        <v>-1924.308</v>
      </c>
      <c r="E10" s="17" t="n">
        <v>-2856.913</v>
      </c>
      <c r="F10" s="17" t="n">
        <v>-2601</v>
      </c>
      <c r="G10" s="17" t="n">
        <v>-2658</v>
      </c>
      <c r="H10" s="17" t="n">
        <v>-2758</v>
      </c>
      <c r="I10" s="17" t="n">
        <v>-3397</v>
      </c>
      <c r="J10" s="17" t="n">
        <v>-3566</v>
      </c>
      <c r="K10" s="17" t="n">
        <v>-3667</v>
      </c>
    </row>
    <row r="11" customFormat="false" ht="15" hidden="false" customHeight="false" outlineLevel="0" collapsed="false">
      <c r="B11" s="0" t="s">
        <v>129</v>
      </c>
      <c r="C11" s="17" t="n">
        <v>-3523.458</v>
      </c>
      <c r="D11" s="17" t="n">
        <v>-20762.371</v>
      </c>
      <c r="E11" s="17" t="n">
        <v>-11818.792</v>
      </c>
      <c r="F11" s="17" t="n">
        <v>-2352</v>
      </c>
      <c r="G11" s="17" t="n">
        <v>3833</v>
      </c>
      <c r="H11" s="17" t="n">
        <v>-1317</v>
      </c>
      <c r="I11" s="17" t="n">
        <v>510</v>
      </c>
      <c r="J11" s="17" t="n">
        <v>-25147</v>
      </c>
      <c r="K11" s="17" t="n">
        <v>-23490</v>
      </c>
    </row>
    <row r="12" customFormat="false" ht="15" hidden="false" customHeight="false" outlineLevel="0" collapsed="false">
      <c r="B12" s="0" t="s">
        <v>131</v>
      </c>
      <c r="C12" s="17" t="n">
        <v>-10106.478</v>
      </c>
      <c r="D12" s="17" t="n">
        <v>-62564.583</v>
      </c>
      <c r="E12" s="17" t="n">
        <v>-57893.647</v>
      </c>
      <c r="F12" s="17" t="n">
        <v>-34922</v>
      </c>
      <c r="G12" s="17" t="n">
        <v>-11987</v>
      </c>
      <c r="H12" s="17" t="n">
        <v>-22778</v>
      </c>
      <c r="I12" s="17" t="n">
        <v>-19228</v>
      </c>
      <c r="J12" s="17" t="n">
        <v>-42739</v>
      </c>
      <c r="K12" s="17" t="n">
        <v>-42048</v>
      </c>
    </row>
    <row r="13" customFormat="false" ht="15" hidden="false" customHeight="false" outlineLevel="0" collapsed="false">
      <c r="B13" s="0" t="s">
        <v>133</v>
      </c>
      <c r="C13" s="17" t="n">
        <v>-693.486</v>
      </c>
      <c r="D13" s="17" t="n">
        <v>-2683.903</v>
      </c>
      <c r="E13" s="17" t="n">
        <v>-5435.93</v>
      </c>
      <c r="F13" s="17" t="n">
        <v>-6947</v>
      </c>
      <c r="G13" s="17" t="n">
        <v>1616</v>
      </c>
      <c r="H13" s="17" t="n">
        <v>-5434</v>
      </c>
      <c r="I13" s="17" t="n">
        <v>-1570</v>
      </c>
      <c r="J13" s="17" t="n">
        <v>-1170</v>
      </c>
      <c r="K13" s="17" t="n">
        <v>-453</v>
      </c>
    </row>
    <row r="14" customFormat="false" ht="15" hidden="false" customHeight="false" outlineLevel="0" collapsed="false">
      <c r="B14" s="0" t="s">
        <v>135</v>
      </c>
      <c r="C14" s="17" t="n">
        <v>43175.744</v>
      </c>
      <c r="D14" s="17" t="n">
        <v>2239.775</v>
      </c>
      <c r="E14" s="17" t="n">
        <v>52067.618</v>
      </c>
      <c r="F14" s="17" t="n">
        <v>141335</v>
      </c>
      <c r="G14" s="17" t="n">
        <v>90326</v>
      </c>
      <c r="H14" s="17" t="n">
        <v>65272</v>
      </c>
      <c r="I14" s="17" t="n">
        <v>55459</v>
      </c>
      <c r="J14" s="17" t="n">
        <v>31969</v>
      </c>
      <c r="K14" s="17" t="n">
        <v>34110</v>
      </c>
    </row>
    <row r="15" customFormat="false" ht="15" hidden="false" customHeight="false" outlineLevel="0" collapsed="false">
      <c r="B15" s="0" t="s">
        <v>137</v>
      </c>
      <c r="C15" s="17" t="n">
        <v>-18057.519</v>
      </c>
      <c r="D15" s="17" t="n">
        <v>-13444.786</v>
      </c>
      <c r="E15" s="17" t="n">
        <v>-24140.63</v>
      </c>
      <c r="F15" s="17" t="n">
        <v>17812</v>
      </c>
      <c r="G15" s="17" t="n">
        <v>11378</v>
      </c>
      <c r="H15" s="17" t="n">
        <v>-9718</v>
      </c>
      <c r="I15" s="17" t="n">
        <v>-21235</v>
      </c>
      <c r="J15" s="17" t="n">
        <v>-5276</v>
      </c>
      <c r="K15" s="17" t="n">
        <v>-9699</v>
      </c>
    </row>
    <row r="16" customFormat="false" ht="15" hidden="false" customHeight="false" outlineLevel="0" collapsed="false">
      <c r="B16" s="0" t="s">
        <v>139</v>
      </c>
      <c r="C16" s="17" t="n">
        <v>25118.225</v>
      </c>
      <c r="D16" s="17" t="n">
        <v>-11205.011</v>
      </c>
      <c r="E16" s="17" t="n">
        <v>27926.988</v>
      </c>
      <c r="F16" s="17" t="n">
        <v>159147</v>
      </c>
      <c r="G16" s="17" t="n">
        <v>101704</v>
      </c>
      <c r="H16" s="17" t="n">
        <v>55554</v>
      </c>
      <c r="I16" s="17" t="n">
        <v>34224</v>
      </c>
      <c r="J16" s="17" t="n">
        <v>26693</v>
      </c>
      <c r="K16" s="17" t="n">
        <v>24411</v>
      </c>
    </row>
    <row r="17" customFormat="false" ht="15" hidden="false" customHeight="false" outlineLevel="0" collapsed="false">
      <c r="B17" s="0" t="s">
        <v>141</v>
      </c>
      <c r="C17" s="17" t="n">
        <v>965.98</v>
      </c>
      <c r="D17" s="17" t="n">
        <v>2508.971</v>
      </c>
      <c r="E17" s="17" t="n">
        <v>-3024.647</v>
      </c>
      <c r="F17" s="17" t="n">
        <v>-25320</v>
      </c>
      <c r="G17" s="17" t="n">
        <v>-15185</v>
      </c>
      <c r="H17" s="17" t="n">
        <v>-15000</v>
      </c>
      <c r="I17" s="17" t="n">
        <v>-3793</v>
      </c>
      <c r="J17" s="17" t="n">
        <v>-14882</v>
      </c>
      <c r="K17" s="17" t="n">
        <v>-15720</v>
      </c>
    </row>
    <row r="18" customFormat="false" ht="15" hidden="false" customHeight="false" outlineLevel="0" collapsed="false">
      <c r="B18" s="0" t="s">
        <v>143</v>
      </c>
      <c r="C18" s="17" t="n">
        <v>25773.768</v>
      </c>
      <c r="D18" s="17" t="n">
        <v>-8696.04</v>
      </c>
      <c r="E18" s="17" t="n">
        <v>24902.341</v>
      </c>
      <c r="F18" s="17" t="n">
        <v>121343</v>
      </c>
      <c r="G18" s="17" t="n">
        <v>96337</v>
      </c>
      <c r="H18" s="17" t="n">
        <v>40554</v>
      </c>
      <c r="I18" s="17" t="n">
        <v>30431</v>
      </c>
      <c r="J18" s="17" t="n">
        <v>11811</v>
      </c>
      <c r="K18" s="17" t="n">
        <v>8691</v>
      </c>
    </row>
    <row r="19" customFormat="false" ht="15" hidden="false" customHeight="false" outlineLevel="0" collapsed="false">
      <c r="B19" s="0" t="s">
        <v>145</v>
      </c>
      <c r="C19" s="17" t="n">
        <v>25656.526</v>
      </c>
      <c r="D19" s="17" t="n">
        <v>-6671.445</v>
      </c>
      <c r="E19" s="17" t="n">
        <v>26712.713</v>
      </c>
      <c r="F19" s="17" t="n">
        <v>121228</v>
      </c>
      <c r="G19" s="17" t="n">
        <v>95924</v>
      </c>
      <c r="H19" s="17" t="n">
        <v>39940</v>
      </c>
      <c r="I19" s="17" t="n">
        <v>31592</v>
      </c>
      <c r="J19" s="17" t="n">
        <v>13814</v>
      </c>
      <c r="K19" s="17" t="n">
        <v>10369</v>
      </c>
    </row>
    <row r="20" customFormat="false" ht="15" hidden="false" customHeight="false" outlineLevel="0" collapsed="false">
      <c r="B20" s="0" t="s">
        <v>148</v>
      </c>
      <c r="C20" s="17" t="n">
        <v>12238.935</v>
      </c>
      <c r="D20" s="17" t="n">
        <v>14750.733</v>
      </c>
      <c r="E20" s="17" t="n">
        <v>16679.216</v>
      </c>
      <c r="F20" s="17" t="n">
        <v>16379</v>
      </c>
      <c r="G20" s="17" t="n">
        <v>16386</v>
      </c>
      <c r="H20" s="17" t="n">
        <v>15300</v>
      </c>
      <c r="I20" s="17" t="n">
        <v>16525</v>
      </c>
      <c r="J20" s="17" t="n">
        <v>17306</v>
      </c>
      <c r="K20" s="17" t="n">
        <v>17823</v>
      </c>
    </row>
    <row r="21" customFormat="false" ht="15" hidden="false" customHeight="false" outlineLevel="0" collapsed="false">
      <c r="B21" s="0" t="s">
        <v>150</v>
      </c>
      <c r="C21" s="17" t="n">
        <v>47930.771</v>
      </c>
      <c r="D21" s="17" t="n">
        <v>47283.755</v>
      </c>
      <c r="E21" s="17" t="n">
        <v>75207.873</v>
      </c>
      <c r="F21" s="17" t="n">
        <v>136766</v>
      </c>
      <c r="G21" s="17" t="n">
        <v>58201</v>
      </c>
      <c r="H21" s="17" t="n">
        <v>65905</v>
      </c>
      <c r="I21" s="17" t="n">
        <v>50199</v>
      </c>
      <c r="J21" s="17" t="n">
        <v>48765</v>
      </c>
      <c r="K21" s="17" t="n">
        <v>50599</v>
      </c>
    </row>
    <row r="22" customFormat="false" ht="15" hidden="false" customHeight="false" outlineLevel="0" collapsed="false">
      <c r="B22" s="0" t="s">
        <v>152</v>
      </c>
      <c r="C22" s="17" t="n">
        <v>13978.533</v>
      </c>
      <c r="D22" s="17" t="n">
        <v>14773.97</v>
      </c>
      <c r="E22" s="17" t="n">
        <v>22725.636</v>
      </c>
      <c r="F22" s="17" t="n">
        <v>27301</v>
      </c>
      <c r="G22" s="17" t="n">
        <v>28184</v>
      </c>
      <c r="H22" s="17" t="n">
        <v>29446</v>
      </c>
      <c r="I22" s="17" t="n">
        <v>35098</v>
      </c>
      <c r="J22" s="17" t="n">
        <v>33390</v>
      </c>
      <c r="K22" s="17" t="n">
        <v>31848</v>
      </c>
    </row>
    <row r="23" customFormat="false" ht="15" hidden="false" customHeight="false" outlineLevel="0" collapsed="false">
      <c r="B23" s="0" t="s">
        <v>154</v>
      </c>
      <c r="C23" s="17" t="n">
        <v>13050.573</v>
      </c>
      <c r="D23" s="17" t="n">
        <v>695.071</v>
      </c>
      <c r="E23" s="17" t="n">
        <v>18708.953</v>
      </c>
      <c r="F23" s="17" t="n">
        <v>73287</v>
      </c>
      <c r="G23" s="17" t="n">
        <v>34157</v>
      </c>
      <c r="H23" s="17" t="n">
        <v>27967</v>
      </c>
      <c r="I23" s="17" t="n">
        <v>20663</v>
      </c>
      <c r="J23" s="17" t="n">
        <v>19971</v>
      </c>
      <c r="K23" s="17" t="n">
        <v>23071</v>
      </c>
    </row>
    <row r="24" customFormat="false" ht="15" hidden="false" customHeight="false" outlineLevel="0" collapsed="false">
      <c r="B24" s="0" t="s">
        <v>157</v>
      </c>
      <c r="C24" s="17" t="n">
        <v>22412.547</v>
      </c>
      <c r="D24" s="17" t="n">
        <v>29627.092</v>
      </c>
      <c r="E24" s="17" t="n">
        <v>70085.566</v>
      </c>
      <c r="F24" s="17" t="n">
        <v>65409</v>
      </c>
      <c r="G24" s="17" t="n">
        <v>24711</v>
      </c>
      <c r="H24" s="17" t="n">
        <v>17474</v>
      </c>
      <c r="I24" s="17" t="n">
        <v>30671</v>
      </c>
      <c r="J24" s="17" t="n">
        <v>40563</v>
      </c>
      <c r="K24" s="17" t="n">
        <v>28871</v>
      </c>
    </row>
    <row r="25" customFormat="false" ht="15" hidden="false" customHeight="false" outlineLevel="0" collapsed="false">
      <c r="B25" s="0" t="s">
        <v>159</v>
      </c>
      <c r="C25" s="17" t="n">
        <v>0</v>
      </c>
      <c r="D25" s="17" t="n">
        <v>0</v>
      </c>
      <c r="E25" s="17" t="n">
        <v>0</v>
      </c>
      <c r="F25" s="17" t="n">
        <v>1028</v>
      </c>
      <c r="G25" s="17" t="n">
        <v>320</v>
      </c>
      <c r="H25" s="17" t="n">
        <v>250</v>
      </c>
      <c r="I25" s="17" t="n">
        <v>331</v>
      </c>
      <c r="J25" s="17" t="n">
        <v>1066</v>
      </c>
      <c r="K25" s="17" t="n">
        <v>971</v>
      </c>
    </row>
    <row r="26" customFormat="false" ht="15" hidden="false" customHeight="false" outlineLevel="0" collapsed="false">
      <c r="B26" s="0" t="s">
        <v>161</v>
      </c>
      <c r="C26" s="17" t="n">
        <v>11669.973</v>
      </c>
      <c r="D26" s="17" t="n">
        <v>11483.278</v>
      </c>
      <c r="E26" s="17" t="n">
        <v>27233.885</v>
      </c>
      <c r="F26" s="17" t="n">
        <v>21840</v>
      </c>
      <c r="G26" s="17" t="n">
        <v>22537</v>
      </c>
      <c r="H26" s="17" t="n">
        <v>20317</v>
      </c>
      <c r="I26" s="17" t="n">
        <v>14600</v>
      </c>
      <c r="J26" s="17" t="n">
        <v>12639</v>
      </c>
      <c r="K26" s="17" t="n">
        <v>13534</v>
      </c>
    </row>
    <row r="27" customFormat="false" ht="15" hidden="false" customHeight="false" outlineLevel="0" collapsed="false">
      <c r="B27" s="0" t="s">
        <v>163</v>
      </c>
      <c r="C27" s="17" t="n">
        <v>17215.947</v>
      </c>
      <c r="D27" s="17" t="n">
        <v>17228.428</v>
      </c>
      <c r="E27" s="17" t="n">
        <v>21102.768</v>
      </c>
      <c r="F27" s="17" t="n">
        <v>24429</v>
      </c>
      <c r="G27" s="17" t="n">
        <v>23386</v>
      </c>
      <c r="H27" s="17" t="n">
        <v>22679</v>
      </c>
      <c r="I27" s="17" t="n">
        <v>28513</v>
      </c>
      <c r="J27" s="17" t="n">
        <v>32666</v>
      </c>
      <c r="K27" s="17" t="n">
        <v>32424</v>
      </c>
    </row>
    <row r="28" customFormat="false" ht="15" hidden="false" customHeight="false" outlineLevel="0" collapsed="false">
      <c r="B28" s="0" t="s">
        <v>165</v>
      </c>
      <c r="C28" s="17" t="n">
        <v>59256.115</v>
      </c>
      <c r="D28" s="17" t="n">
        <v>68697.547</v>
      </c>
      <c r="E28" s="17" t="n">
        <v>126805.173</v>
      </c>
      <c r="F28" s="17" t="n">
        <v>124800</v>
      </c>
      <c r="G28" s="17" t="n">
        <v>81009</v>
      </c>
      <c r="H28" s="17" t="n">
        <v>90529</v>
      </c>
      <c r="I28" s="17" t="n">
        <v>83476</v>
      </c>
      <c r="J28" s="17" t="n">
        <v>100645</v>
      </c>
      <c r="K28" s="17" t="n">
        <v>91411</v>
      </c>
    </row>
    <row r="29" customFormat="false" ht="15" hidden="false" customHeight="false" outlineLevel="0" collapsed="false">
      <c r="B29" s="0" t="s">
        <v>167</v>
      </c>
      <c r="C29" s="17" t="n">
        <v>12495.002</v>
      </c>
      <c r="D29" s="17" t="n">
        <v>11277.871</v>
      </c>
      <c r="E29" s="17" t="n">
        <v>10556.64</v>
      </c>
      <c r="F29" s="17" t="n">
        <v>9771</v>
      </c>
      <c r="G29" s="17" t="n">
        <v>9381</v>
      </c>
      <c r="H29" s="17" t="n">
        <v>9061</v>
      </c>
      <c r="I29" s="17" t="n">
        <v>28158</v>
      </c>
      <c r="J29" s="17" t="n">
        <v>27674</v>
      </c>
      <c r="K29" s="17" t="n">
        <v>27248</v>
      </c>
    </row>
    <row r="30" customFormat="false" ht="15" hidden="false" customHeight="false" outlineLevel="0" collapsed="false">
      <c r="B30" s="0" t="s">
        <v>169</v>
      </c>
      <c r="C30" s="17" t="n">
        <v>187481.499</v>
      </c>
      <c r="D30" s="17" t="n">
        <v>187733.155</v>
      </c>
      <c r="E30" s="17" t="n">
        <v>213835.752</v>
      </c>
      <c r="F30" s="17" t="n">
        <v>233995</v>
      </c>
      <c r="G30" s="17" t="n">
        <v>234472</v>
      </c>
      <c r="H30" s="17" t="n">
        <v>234302</v>
      </c>
      <c r="I30" s="17" t="n">
        <v>247594</v>
      </c>
      <c r="J30" s="17" t="n">
        <v>240040</v>
      </c>
      <c r="K30" s="17" t="n">
        <v>240188</v>
      </c>
    </row>
    <row r="31" customFormat="false" ht="15" hidden="false" customHeight="false" outlineLevel="0" collapsed="false">
      <c r="B31" s="0" t="s">
        <v>171</v>
      </c>
      <c r="C31" s="17" t="n">
        <v>30850.392</v>
      </c>
      <c r="D31" s="17" t="n">
        <v>34256.976</v>
      </c>
      <c r="E31" s="17" t="n">
        <v>48308.512</v>
      </c>
      <c r="F31" s="17" t="n">
        <v>50287</v>
      </c>
      <c r="G31" s="17" t="n">
        <v>53421</v>
      </c>
      <c r="H31" s="17" t="n">
        <v>56309</v>
      </c>
      <c r="I31" s="17" t="n">
        <v>65105</v>
      </c>
      <c r="J31" s="17" t="n">
        <v>49261</v>
      </c>
      <c r="K31" s="17" t="n">
        <v>48775</v>
      </c>
    </row>
    <row r="32" customFormat="false" ht="15" hidden="false" customHeight="false" outlineLevel="0" collapsed="false">
      <c r="B32" s="0" t="s">
        <v>173</v>
      </c>
      <c r="C32" s="17" t="n">
        <v>341714.838</v>
      </c>
      <c r="D32" s="17" t="n">
        <v>369670.328</v>
      </c>
      <c r="E32" s="17" t="n">
        <v>478129.515</v>
      </c>
      <c r="F32" s="17" t="n">
        <v>499128</v>
      </c>
      <c r="G32" s="17" t="n">
        <v>453387</v>
      </c>
      <c r="H32" s="17" t="n">
        <v>455984</v>
      </c>
      <c r="I32" s="17" t="n">
        <v>496325</v>
      </c>
      <c r="J32" s="17" t="n">
        <v>476094</v>
      </c>
      <c r="K32" s="17" t="n">
        <v>462161</v>
      </c>
    </row>
    <row r="33" customFormat="false" ht="15" hidden="false" customHeight="false" outlineLevel="0" collapsed="false">
      <c r="B33" s="0" t="s">
        <v>175</v>
      </c>
      <c r="C33" s="17" t="n">
        <v>13609.716</v>
      </c>
      <c r="D33" s="17" t="n">
        <v>16555.739</v>
      </c>
      <c r="E33" s="17" t="n">
        <v>17495.96</v>
      </c>
      <c r="F33" s="17" t="n">
        <v>19393</v>
      </c>
      <c r="G33" s="17" t="n">
        <v>23278</v>
      </c>
      <c r="H33" s="17" t="n">
        <v>25523</v>
      </c>
      <c r="I33" s="17" t="n">
        <v>26217</v>
      </c>
      <c r="J33" s="17" t="n">
        <v>30621</v>
      </c>
      <c r="K33" s="17" t="n">
        <v>32113</v>
      </c>
    </row>
    <row r="34" customFormat="false" ht="15" hidden="false" customHeight="false" outlineLevel="0" collapsed="false">
      <c r="B34" s="0" t="s">
        <v>177</v>
      </c>
      <c r="C34" s="17" t="n">
        <v>3888.522</v>
      </c>
      <c r="D34" s="17" t="n">
        <v>5804.801</v>
      </c>
      <c r="E34" s="17" t="n">
        <v>5901.375</v>
      </c>
      <c r="F34" s="17" t="n">
        <v>6720</v>
      </c>
      <c r="G34" s="17" t="n">
        <v>2552</v>
      </c>
      <c r="H34" s="17" t="n">
        <v>4940</v>
      </c>
      <c r="I34" s="17" t="n">
        <v>7223</v>
      </c>
      <c r="J34" s="17" t="n">
        <v>3731</v>
      </c>
      <c r="K34" s="17" t="n">
        <v>6534</v>
      </c>
    </row>
    <row r="35" customFormat="false" ht="15" hidden="false" customHeight="false" outlineLevel="0" collapsed="false">
      <c r="B35" s="0" t="s">
        <v>179</v>
      </c>
      <c r="C35" s="17" t="n">
        <v>35516.662</v>
      </c>
      <c r="D35" s="17" t="n">
        <v>55805.644</v>
      </c>
      <c r="E35" s="17" t="n">
        <v>75837.515</v>
      </c>
      <c r="F35" s="17" t="n">
        <v>84814</v>
      </c>
      <c r="G35" s="17" t="n">
        <v>72478</v>
      </c>
      <c r="H35" s="17" t="n">
        <v>70948</v>
      </c>
      <c r="I35" s="17" t="n">
        <v>81055</v>
      </c>
      <c r="J35" s="17" t="n">
        <v>87320</v>
      </c>
      <c r="K35" s="17" t="n">
        <v>76703</v>
      </c>
    </row>
    <row r="36" customFormat="false" ht="15" hidden="false" customHeight="false" outlineLevel="0" collapsed="false">
      <c r="B36" s="0" t="s">
        <v>181</v>
      </c>
      <c r="C36" s="17" t="n">
        <v>56039.432</v>
      </c>
      <c r="D36" s="17" t="n">
        <v>54037.929</v>
      </c>
      <c r="E36" s="17" t="n">
        <v>72187.72</v>
      </c>
      <c r="F36" s="17" t="n">
        <v>70189</v>
      </c>
      <c r="G36" s="17" t="n">
        <v>63778</v>
      </c>
      <c r="H36" s="17" t="n">
        <v>62464</v>
      </c>
      <c r="I36" s="17" t="n">
        <v>88789</v>
      </c>
      <c r="J36" s="17" t="n">
        <v>99726</v>
      </c>
      <c r="K36" s="17" t="n">
        <v>91500</v>
      </c>
    </row>
    <row r="37" customFormat="false" ht="15" hidden="false" customHeight="false" outlineLevel="0" collapsed="false">
      <c r="B37" s="0" t="s">
        <v>183</v>
      </c>
      <c r="C37" s="17" t="n">
        <v>173682.178</v>
      </c>
      <c r="D37" s="17" t="n">
        <v>157149.353</v>
      </c>
      <c r="E37" s="17" t="n">
        <v>180985.984</v>
      </c>
      <c r="F37" s="17" t="n">
        <v>197058</v>
      </c>
      <c r="G37" s="17" t="n">
        <v>194894</v>
      </c>
      <c r="H37" s="17" t="n">
        <v>198325</v>
      </c>
      <c r="I37" s="17" t="n">
        <v>213720</v>
      </c>
      <c r="J37" s="17" t="n">
        <v>188926</v>
      </c>
      <c r="K37" s="17" t="n">
        <v>201467</v>
      </c>
    </row>
    <row r="38" customFormat="false" ht="15" hidden="false" customHeight="false" outlineLevel="0" collapsed="false">
      <c r="B38" s="0" t="s">
        <v>185</v>
      </c>
      <c r="C38" s="17" t="n">
        <v>3279.552</v>
      </c>
      <c r="D38" s="17" t="n">
        <v>-4330.947</v>
      </c>
      <c r="E38" s="17" t="n">
        <v>-4798.995</v>
      </c>
      <c r="F38" s="17" t="n">
        <v>4655</v>
      </c>
      <c r="G38" s="17" t="n">
        <v>7782</v>
      </c>
      <c r="H38" s="17" t="n">
        <v>7360</v>
      </c>
      <c r="I38" s="17" t="n">
        <v>6948</v>
      </c>
      <c r="J38" s="17" t="n">
        <v>4627</v>
      </c>
      <c r="K38" s="17" t="n">
        <v>4832</v>
      </c>
    </row>
    <row r="40" customFormat="false" ht="16.15" hidden="false" customHeight="false" outlineLevel="0" collapsed="false">
      <c r="B40" s="47" t="s">
        <v>9</v>
      </c>
    </row>
    <row r="41" customFormat="false" ht="15" hidden="false" customHeight="false" outlineLevel="0" collapsed="false">
      <c r="B41" s="13" t="s">
        <v>108</v>
      </c>
      <c r="C41" s="13" t="s">
        <v>109</v>
      </c>
      <c r="D41" s="13" t="s">
        <v>110</v>
      </c>
      <c r="E41" s="13" t="s">
        <v>111</v>
      </c>
      <c r="F41" s="13" t="s">
        <v>112</v>
      </c>
      <c r="G41" s="13" t="s">
        <v>113</v>
      </c>
      <c r="H41" s="13" t="s">
        <v>114</v>
      </c>
      <c r="I41" s="13" t="s">
        <v>115</v>
      </c>
      <c r="J41" s="13" t="s">
        <v>116</v>
      </c>
      <c r="K41" s="13" t="s">
        <v>117</v>
      </c>
    </row>
    <row r="42" customFormat="false" ht="15" hidden="false" customHeight="false" outlineLevel="0" collapsed="false">
      <c r="B42" s="0" t="s">
        <v>119</v>
      </c>
      <c r="C42" s="17" t="n">
        <v>22968.885</v>
      </c>
      <c r="D42" s="17" t="n">
        <v>25436.417</v>
      </c>
      <c r="E42" s="17" t="n">
        <v>30064.02</v>
      </c>
      <c r="F42" s="17" t="n">
        <v>47912.039</v>
      </c>
      <c r="G42" s="17" t="n">
        <v>44362.12</v>
      </c>
      <c r="H42" s="17" t="n">
        <v>45437.95</v>
      </c>
      <c r="I42" s="17" t="n">
        <v>43687.46</v>
      </c>
      <c r="J42" s="17" t="n">
        <v>44797.946</v>
      </c>
      <c r="K42" s="17" t="n">
        <v>45106.972</v>
      </c>
    </row>
    <row r="43" customFormat="false" ht="15" hidden="false" customHeight="false" outlineLevel="0" collapsed="false">
      <c r="B43" s="0" t="s">
        <v>121</v>
      </c>
      <c r="C43" s="17" t="n">
        <v>-16105.657</v>
      </c>
      <c r="D43" s="17" t="n">
        <v>-17263.264</v>
      </c>
      <c r="E43" s="17" t="n">
        <v>-19124.901</v>
      </c>
      <c r="F43" s="17" t="n">
        <v>-25837.475</v>
      </c>
      <c r="G43" s="17" t="n">
        <v>-31054.016</v>
      </c>
      <c r="H43" s="17" t="n">
        <v>-33475.189</v>
      </c>
      <c r="I43" s="17" t="n">
        <v>-31990.696</v>
      </c>
      <c r="J43" s="17" t="n">
        <v>-32404.221</v>
      </c>
      <c r="K43" s="17" t="n">
        <v>-32517.962</v>
      </c>
    </row>
    <row r="44" customFormat="false" ht="15" hidden="false" customHeight="false" outlineLevel="0" collapsed="false">
      <c r="B44" s="0" t="s">
        <v>123</v>
      </c>
      <c r="C44" s="17" t="n">
        <v>6863.228</v>
      </c>
      <c r="D44" s="17" t="n">
        <v>8173.153</v>
      </c>
      <c r="E44" s="17" t="n">
        <v>10939.119</v>
      </c>
      <c r="F44" s="17" t="n">
        <v>22074.564</v>
      </c>
      <c r="G44" s="17" t="n">
        <v>13308.104</v>
      </c>
      <c r="H44" s="17" t="n">
        <v>11962.761</v>
      </c>
      <c r="I44" s="17" t="n">
        <v>11696.764</v>
      </c>
      <c r="J44" s="17" t="n">
        <v>12393.725</v>
      </c>
      <c r="K44" s="17" t="n">
        <v>12589.01</v>
      </c>
    </row>
    <row r="45" customFormat="false" ht="15" hidden="false" customHeight="false" outlineLevel="0" collapsed="false">
      <c r="B45" s="0" t="s">
        <v>125</v>
      </c>
      <c r="C45" s="17" t="n">
        <v>-2263.688</v>
      </c>
      <c r="D45" s="17" t="n">
        <v>-2342.805</v>
      </c>
      <c r="E45" s="17" t="n">
        <v>-2004.417</v>
      </c>
      <c r="F45" s="17" t="n">
        <v>-2372.298</v>
      </c>
      <c r="G45" s="17" t="n">
        <v>-2575.818</v>
      </c>
      <c r="H45" s="17" t="n">
        <v>-3729.089</v>
      </c>
      <c r="I45" s="17" t="n">
        <v>-5453.297</v>
      </c>
      <c r="J45" s="17" t="n">
        <v>-5033.148</v>
      </c>
      <c r="K45" s="17" t="n">
        <v>-5210.199</v>
      </c>
    </row>
    <row r="46" customFormat="false" ht="15" hidden="false" customHeight="false" outlineLevel="0" collapsed="false">
      <c r="B46" s="0" t="s">
        <v>127</v>
      </c>
      <c r="C46" s="17" t="n">
        <v>-494.023</v>
      </c>
      <c r="D46" s="17" t="n">
        <v>-511.065</v>
      </c>
      <c r="E46" s="17" t="n">
        <v>-504.458</v>
      </c>
      <c r="F46" s="17" t="n">
        <v>-587.148</v>
      </c>
      <c r="G46" s="17" t="n">
        <v>-674.119</v>
      </c>
      <c r="H46" s="17" t="n">
        <v>-760.894</v>
      </c>
      <c r="I46" s="17" t="n">
        <v>-855.999</v>
      </c>
      <c r="J46" s="17" t="n">
        <v>-979.164</v>
      </c>
      <c r="K46" s="17" t="n">
        <v>-1009.541</v>
      </c>
    </row>
    <row r="47" customFormat="false" ht="15" hidden="false" customHeight="false" outlineLevel="0" collapsed="false">
      <c r="B47" s="0" t="s">
        <v>129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</row>
    <row r="48" customFormat="false" ht="15" hidden="false" customHeight="false" outlineLevel="0" collapsed="false">
      <c r="B48" s="0" t="s">
        <v>131</v>
      </c>
      <c r="C48" s="17" t="n">
        <v>83.332</v>
      </c>
      <c r="D48" s="17" t="n">
        <v>-4631.236</v>
      </c>
      <c r="E48" s="17" t="n">
        <v>-5224.682</v>
      </c>
      <c r="F48" s="17" t="n">
        <v>-1534.602</v>
      </c>
      <c r="G48" s="17" t="n">
        <v>-5666.642</v>
      </c>
      <c r="H48" s="17" t="n">
        <v>-6776.012</v>
      </c>
      <c r="I48" s="17" t="n">
        <v>-7426.742</v>
      </c>
      <c r="J48" s="17" t="n">
        <v>-7577.051</v>
      </c>
      <c r="K48" s="17" t="n">
        <v>-9243.594</v>
      </c>
    </row>
    <row r="49" customFormat="false" ht="15" hidden="false" customHeight="false" outlineLevel="0" collapsed="false">
      <c r="B49" s="0" t="s">
        <v>133</v>
      </c>
      <c r="C49" s="17" t="n">
        <v>135.706</v>
      </c>
      <c r="D49" s="17" t="n">
        <v>125.715</v>
      </c>
      <c r="E49" s="17" t="n">
        <v>71.755</v>
      </c>
      <c r="F49" s="17" t="n">
        <v>182.504</v>
      </c>
      <c r="G49" s="17" t="n">
        <v>237.917</v>
      </c>
      <c r="H49" s="17" t="n">
        <v>351.131</v>
      </c>
      <c r="I49" s="17" t="n">
        <v>448.048</v>
      </c>
      <c r="J49" s="17" t="n">
        <v>518.744</v>
      </c>
      <c r="K49" s="17" t="n">
        <v>435.292</v>
      </c>
    </row>
    <row r="50" customFormat="false" ht="15" hidden="false" customHeight="false" outlineLevel="0" collapsed="false">
      <c r="B50" s="0" t="s">
        <v>135</v>
      </c>
      <c r="C50" s="17" t="n">
        <v>6946.56</v>
      </c>
      <c r="D50" s="17" t="n">
        <v>3541.917</v>
      </c>
      <c r="E50" s="17" t="n">
        <v>5714.437</v>
      </c>
      <c r="F50" s="17" t="n">
        <v>20539.962</v>
      </c>
      <c r="G50" s="17" t="n">
        <v>7641.462</v>
      </c>
      <c r="H50" s="17" t="n">
        <v>5186.749</v>
      </c>
      <c r="I50" s="17" t="n">
        <v>4270.022</v>
      </c>
      <c r="J50" s="17" t="n">
        <v>4816.674</v>
      </c>
      <c r="K50" s="17" t="n">
        <v>3345.416</v>
      </c>
    </row>
    <row r="51" customFormat="false" ht="15" hidden="false" customHeight="false" outlineLevel="0" collapsed="false">
      <c r="B51" s="0" t="s">
        <v>137</v>
      </c>
      <c r="C51" s="17" t="n">
        <v>-1495.643</v>
      </c>
      <c r="D51" s="17" t="n">
        <v>-2131.184</v>
      </c>
      <c r="E51" s="17" t="n">
        <v>-796.311</v>
      </c>
      <c r="F51" s="17" t="n">
        <v>-1944.184</v>
      </c>
      <c r="G51" s="17" t="n">
        <v>-3515.025</v>
      </c>
      <c r="H51" s="17" t="n">
        <v>-4151.382</v>
      </c>
      <c r="I51" s="17" t="n">
        <v>-5813.371</v>
      </c>
      <c r="J51" s="17" t="n">
        <v>-6496.192</v>
      </c>
      <c r="K51" s="17" t="n">
        <v>-5895.433</v>
      </c>
    </row>
    <row r="52" customFormat="false" ht="15" hidden="false" customHeight="false" outlineLevel="0" collapsed="false">
      <c r="B52" s="0" t="s">
        <v>139</v>
      </c>
      <c r="C52" s="17" t="n">
        <v>5450.917</v>
      </c>
      <c r="D52" s="17" t="n">
        <v>1410.733</v>
      </c>
      <c r="E52" s="17" t="n">
        <v>4918.126</v>
      </c>
      <c r="F52" s="17" t="n">
        <v>18595.778</v>
      </c>
      <c r="G52" s="17" t="n">
        <v>4126.437</v>
      </c>
      <c r="H52" s="17" t="n">
        <v>1035.367</v>
      </c>
      <c r="I52" s="17" t="n">
        <v>-1543.349</v>
      </c>
      <c r="J52" s="17" t="n">
        <v>-1679.518</v>
      </c>
      <c r="K52" s="17" t="n">
        <v>-2550.017</v>
      </c>
    </row>
    <row r="53" customFormat="false" ht="15" hidden="false" customHeight="false" outlineLevel="0" collapsed="false">
      <c r="B53" s="0" t="s">
        <v>141</v>
      </c>
      <c r="C53" s="17" t="n">
        <v>-250.334</v>
      </c>
      <c r="D53" s="17" t="n">
        <v>833.778</v>
      </c>
      <c r="E53" s="17" t="n">
        <v>-625.508</v>
      </c>
      <c r="F53" s="17" t="n">
        <v>-5000.157</v>
      </c>
      <c r="G53" s="17" t="n">
        <v>-1958.739</v>
      </c>
      <c r="H53" s="17" t="n">
        <v>-632.718</v>
      </c>
      <c r="I53" s="17" t="n">
        <v>5.208</v>
      </c>
      <c r="J53" s="17" t="n">
        <v>172.792</v>
      </c>
      <c r="K53" s="17" t="n">
        <v>577.159</v>
      </c>
    </row>
    <row r="54" customFormat="false" ht="15" hidden="false" customHeight="false" outlineLevel="0" collapsed="false">
      <c r="B54" s="0" t="s">
        <v>143</v>
      </c>
      <c r="C54" s="17" t="n">
        <v>5200.583</v>
      </c>
      <c r="D54" s="17" t="n">
        <v>2244.511</v>
      </c>
      <c r="E54" s="17" t="n">
        <v>4292.618</v>
      </c>
      <c r="F54" s="17" t="n">
        <v>13595.621</v>
      </c>
      <c r="G54" s="17" t="n">
        <v>2167.698</v>
      </c>
      <c r="H54" s="17" t="n">
        <v>402.649</v>
      </c>
      <c r="I54" s="17" t="n">
        <v>-1538.141</v>
      </c>
      <c r="J54" s="17" t="n">
        <v>-1506.726</v>
      </c>
      <c r="K54" s="17" t="n">
        <v>-1972.858</v>
      </c>
    </row>
    <row r="55" customFormat="false" ht="15" hidden="false" customHeight="false" outlineLevel="0" collapsed="false">
      <c r="B55" s="0" t="s">
        <v>145</v>
      </c>
      <c r="C55" s="17" t="n">
        <v>5074.136</v>
      </c>
      <c r="D55" s="17" t="n">
        <v>1789.067</v>
      </c>
      <c r="E55" s="17" t="n">
        <v>3794.295</v>
      </c>
      <c r="F55" s="17" t="n">
        <v>12258.628</v>
      </c>
      <c r="G55" s="17" t="n">
        <v>1554.06</v>
      </c>
      <c r="H55" s="17" t="n">
        <v>-318.206</v>
      </c>
      <c r="I55" s="17" t="n">
        <v>-2591.851</v>
      </c>
      <c r="J55" s="17" t="n">
        <v>-2002.374</v>
      </c>
      <c r="K55" s="17" t="n">
        <v>-2626.882</v>
      </c>
    </row>
    <row r="56" customFormat="false" ht="15" hidden="false" customHeight="false" outlineLevel="0" collapsed="false">
      <c r="B56" s="0" t="s">
        <v>148</v>
      </c>
      <c r="C56" s="17" t="n">
        <v>1273.021</v>
      </c>
      <c r="D56" s="17" t="n">
        <v>1519.331</v>
      </c>
      <c r="E56" s="17" t="n">
        <v>2516.728</v>
      </c>
      <c r="F56" s="17" t="n">
        <v>2212.406</v>
      </c>
      <c r="G56" s="17" t="n">
        <v>2870.231</v>
      </c>
      <c r="H56" s="17" t="n">
        <v>3372.073</v>
      </c>
      <c r="I56" s="17" t="n">
        <v>3786.055</v>
      </c>
      <c r="J56" s="17" t="n">
        <v>4150.475</v>
      </c>
      <c r="K56" s="17" t="n">
        <v>4381.847</v>
      </c>
    </row>
    <row r="57" customFormat="false" ht="15" hidden="false" customHeight="false" outlineLevel="0" collapsed="false">
      <c r="B57" s="0" t="s">
        <v>150</v>
      </c>
      <c r="C57" s="17" t="n">
        <v>2208.105</v>
      </c>
      <c r="D57" s="17" t="n">
        <v>4871.879</v>
      </c>
      <c r="E57" s="17" t="n">
        <v>9576.874</v>
      </c>
      <c r="F57" s="17" t="n">
        <v>14793.263</v>
      </c>
      <c r="G57" s="17" t="n">
        <v>2042.793</v>
      </c>
      <c r="H57" s="17" t="n">
        <v>7292.608</v>
      </c>
      <c r="I57" s="17" t="n">
        <v>8650.505</v>
      </c>
      <c r="J57" s="17" t="n">
        <v>-973.179</v>
      </c>
      <c r="K57" s="17" t="n">
        <v>-245</v>
      </c>
    </row>
    <row r="58" customFormat="false" ht="15" hidden="false" customHeight="false" outlineLevel="0" collapsed="false">
      <c r="B58" s="0" t="s">
        <v>152</v>
      </c>
      <c r="C58" s="17" t="n">
        <v>1319.302</v>
      </c>
      <c r="D58" s="17" t="n">
        <v>2215.883</v>
      </c>
      <c r="E58" s="17" t="n">
        <v>1683.839</v>
      </c>
      <c r="F58" s="17" t="n">
        <v>2864.707</v>
      </c>
      <c r="G58" s="17" t="n">
        <v>3352.21</v>
      </c>
      <c r="H58" s="17" t="n">
        <v>4408.119</v>
      </c>
      <c r="I58" s="17" t="n">
        <v>5494.335</v>
      </c>
      <c r="J58" s="17" t="n">
        <v>5935.897</v>
      </c>
      <c r="K58" s="17" t="n">
        <v>5981.896</v>
      </c>
    </row>
    <row r="59" customFormat="false" ht="15" hidden="false" customHeight="false" outlineLevel="0" collapsed="false">
      <c r="B59" s="0" t="s">
        <v>154</v>
      </c>
      <c r="C59" s="17" t="n">
        <v>502.002</v>
      </c>
      <c r="D59" s="17" t="n">
        <v>1920.309</v>
      </c>
      <c r="E59" s="17" t="n">
        <v>309.35</v>
      </c>
      <c r="F59" s="17" t="n">
        <v>3290.544</v>
      </c>
      <c r="G59" s="17" t="n">
        <v>3756.738</v>
      </c>
      <c r="H59" s="17" t="n">
        <v>3980.871</v>
      </c>
      <c r="I59" s="17" t="n">
        <v>2535.325</v>
      </c>
      <c r="J59" s="17" t="n">
        <v>695.232</v>
      </c>
      <c r="K59" s="17" t="n">
        <v>905.831</v>
      </c>
    </row>
    <row r="60" customFormat="false" ht="15" hidden="false" customHeight="false" outlineLevel="0" collapsed="false">
      <c r="B60" s="0" t="s">
        <v>157</v>
      </c>
      <c r="C60" s="17" t="n">
        <v>2248.004</v>
      </c>
      <c r="D60" s="17" t="n">
        <v>1088.955</v>
      </c>
      <c r="E60" s="17" t="n">
        <v>9944.586</v>
      </c>
      <c r="F60" s="17" t="n">
        <v>16646.48</v>
      </c>
      <c r="G60" s="17" t="n">
        <v>11991.356</v>
      </c>
      <c r="H60" s="17" t="n">
        <v>16046.218</v>
      </c>
      <c r="I60" s="17" t="n">
        <v>23310.197</v>
      </c>
      <c r="J60" s="17" t="n">
        <v>14421.022</v>
      </c>
      <c r="K60" s="17" t="n">
        <v>13630.963</v>
      </c>
    </row>
    <row r="61" customFormat="false" ht="15" hidden="false" customHeight="false" outlineLevel="0" collapsed="false">
      <c r="B61" s="0" t="s">
        <v>159</v>
      </c>
      <c r="C61" s="17" t="n">
        <v>895.713</v>
      </c>
      <c r="D61" s="17" t="n">
        <v>2633.173</v>
      </c>
      <c r="E61" s="17" t="n">
        <v>3783.362</v>
      </c>
      <c r="F61" s="17" t="n">
        <v>2644.732</v>
      </c>
      <c r="G61" s="17" t="n">
        <v>1456.485</v>
      </c>
      <c r="H61" s="17" t="n">
        <v>1533.004</v>
      </c>
      <c r="I61" s="17" t="n">
        <v>911.378</v>
      </c>
      <c r="J61" s="17" t="n">
        <v>642.715</v>
      </c>
      <c r="K61" s="17" t="n">
        <v>654.791</v>
      </c>
    </row>
    <row r="62" customFormat="false" ht="15" hidden="false" customHeight="false" outlineLevel="0" collapsed="false">
      <c r="B62" s="0" t="s">
        <v>161</v>
      </c>
      <c r="C62" s="17" t="n">
        <v>2078.182</v>
      </c>
      <c r="D62" s="17" t="n">
        <v>2047.931</v>
      </c>
      <c r="E62" s="17" t="n">
        <v>2867.352</v>
      </c>
      <c r="F62" s="17" t="n">
        <v>2597.838</v>
      </c>
      <c r="G62" s="17" t="n">
        <v>3233.164</v>
      </c>
      <c r="H62" s="17" t="n">
        <v>3269.764</v>
      </c>
      <c r="I62" s="17" t="n">
        <v>2900.998</v>
      </c>
      <c r="J62" s="17" t="n">
        <v>2397.033</v>
      </c>
      <c r="K62" s="17" t="n">
        <v>2531.565</v>
      </c>
    </row>
    <row r="63" customFormat="false" ht="15" hidden="false" customHeight="false" outlineLevel="0" collapsed="false">
      <c r="B63" s="0" t="s">
        <v>163</v>
      </c>
      <c r="C63" s="17" t="n">
        <v>5039.56</v>
      </c>
      <c r="D63" s="17" t="n">
        <v>5282.75</v>
      </c>
      <c r="E63" s="17" t="n">
        <v>4817.586</v>
      </c>
      <c r="F63" s="17" t="n">
        <v>10943.835</v>
      </c>
      <c r="G63" s="17" t="n">
        <v>11289.229</v>
      </c>
      <c r="H63" s="17" t="n">
        <v>9557.578</v>
      </c>
      <c r="I63" s="17" t="n">
        <v>10439.741</v>
      </c>
      <c r="J63" s="17" t="n">
        <v>10455.5</v>
      </c>
      <c r="K63" s="17" t="n">
        <v>9368.174</v>
      </c>
    </row>
    <row r="64" customFormat="false" ht="15" hidden="false" customHeight="false" outlineLevel="0" collapsed="false">
      <c r="B64" s="0" t="s">
        <v>165</v>
      </c>
      <c r="C64" s="17" t="n">
        <v>12014.483</v>
      </c>
      <c r="D64" s="17" t="n">
        <v>12725.805</v>
      </c>
      <c r="E64" s="17" t="n">
        <v>23386.194</v>
      </c>
      <c r="F64" s="17" t="n">
        <v>34972.354</v>
      </c>
      <c r="G64" s="17" t="n">
        <v>30612.36</v>
      </c>
      <c r="H64" s="17" t="n">
        <v>33077.7</v>
      </c>
      <c r="I64" s="17" t="n">
        <v>39785.693</v>
      </c>
      <c r="J64" s="17" t="n">
        <v>30330.629</v>
      </c>
      <c r="K64" s="17" t="n">
        <v>29739.027</v>
      </c>
    </row>
    <row r="65" customFormat="false" ht="15" hidden="false" customHeight="false" outlineLevel="0" collapsed="false">
      <c r="B65" s="0" t="s">
        <v>167</v>
      </c>
      <c r="C65" s="17" t="n">
        <v>5630.613</v>
      </c>
      <c r="D65" s="17" t="n">
        <v>3584.169</v>
      </c>
      <c r="E65" s="17" t="n">
        <v>3695.78</v>
      </c>
      <c r="F65" s="17" t="n">
        <v>4011.828</v>
      </c>
      <c r="G65" s="17" t="n">
        <v>5219.082</v>
      </c>
      <c r="H65" s="17" t="n">
        <v>5443.131</v>
      </c>
      <c r="I65" s="17" t="n">
        <v>5948.051</v>
      </c>
      <c r="J65" s="17" t="n">
        <v>8292.026</v>
      </c>
      <c r="K65" s="17" t="n">
        <v>8810.278</v>
      </c>
    </row>
    <row r="66" customFormat="false" ht="15" hidden="false" customHeight="false" outlineLevel="0" collapsed="false">
      <c r="B66" s="0" t="s">
        <v>169</v>
      </c>
      <c r="C66" s="17" t="n">
        <v>18046.864</v>
      </c>
      <c r="D66" s="17" t="n">
        <v>19700.944</v>
      </c>
      <c r="E66" s="17" t="n">
        <v>19716.223</v>
      </c>
      <c r="F66" s="17" t="n">
        <v>21531.134</v>
      </c>
      <c r="G66" s="17" t="n">
        <v>26370.445</v>
      </c>
      <c r="H66" s="17" t="n">
        <v>27927.458</v>
      </c>
      <c r="I66" s="17" t="n">
        <v>30426.023</v>
      </c>
      <c r="J66" s="17" t="n">
        <v>33919.169</v>
      </c>
      <c r="K66" s="17" t="n">
        <v>34534.185</v>
      </c>
    </row>
    <row r="67" customFormat="false" ht="15" hidden="false" customHeight="false" outlineLevel="0" collapsed="false">
      <c r="B67" s="0" t="s">
        <v>171</v>
      </c>
      <c r="C67" s="17" t="n">
        <v>7253.175</v>
      </c>
      <c r="D67" s="17" t="n">
        <v>7231.781</v>
      </c>
      <c r="E67" s="17" t="n">
        <v>7316.794</v>
      </c>
      <c r="F67" s="17" t="n">
        <v>7657.05</v>
      </c>
      <c r="G67" s="17" t="n">
        <v>10788.054</v>
      </c>
      <c r="H67" s="17" t="n">
        <v>10536.481</v>
      </c>
      <c r="I67" s="17" t="n">
        <v>10438.091</v>
      </c>
      <c r="J67" s="17" t="n">
        <v>11006.125</v>
      </c>
      <c r="K67" s="17" t="n">
        <v>10900.309</v>
      </c>
    </row>
    <row r="68" customFormat="false" ht="15" hidden="false" customHeight="false" outlineLevel="0" collapsed="false">
      <c r="B68" s="0" t="s">
        <v>173</v>
      </c>
      <c r="C68" s="17" t="n">
        <v>47327.524</v>
      </c>
      <c r="D68" s="17" t="n">
        <v>50869.276</v>
      </c>
      <c r="E68" s="17" t="n">
        <v>63002.149</v>
      </c>
      <c r="F68" s="17" t="n">
        <v>79379.103</v>
      </c>
      <c r="G68" s="17" t="n">
        <v>85354.359</v>
      </c>
      <c r="H68" s="17" t="n">
        <v>91529.72</v>
      </c>
      <c r="I68" s="17" t="n">
        <v>103906.654</v>
      </c>
      <c r="J68" s="17" t="n">
        <v>100575.369</v>
      </c>
      <c r="K68" s="17" t="n">
        <v>100602.032</v>
      </c>
    </row>
    <row r="69" customFormat="false" ht="15" hidden="false" customHeight="false" outlineLevel="0" collapsed="false">
      <c r="B69" s="0" t="s">
        <v>175</v>
      </c>
      <c r="C69" s="17" t="n">
        <v>3473.822</v>
      </c>
      <c r="D69" s="17" t="n">
        <v>3012.654</v>
      </c>
      <c r="E69" s="17" t="n">
        <v>4819.539</v>
      </c>
      <c r="F69" s="17" t="n">
        <v>6446.999</v>
      </c>
      <c r="G69" s="17" t="n">
        <v>6596.915</v>
      </c>
      <c r="H69" s="17" t="n">
        <v>7739.52</v>
      </c>
      <c r="I69" s="17" t="n">
        <v>7030.734</v>
      </c>
      <c r="J69" s="17" t="n">
        <v>7162.929</v>
      </c>
      <c r="K69" s="17" t="n">
        <v>7349.91</v>
      </c>
    </row>
    <row r="70" customFormat="false" ht="15" hidden="false" customHeight="false" outlineLevel="0" collapsed="false">
      <c r="B70" s="0" t="s">
        <v>177</v>
      </c>
      <c r="C70" s="17" t="n">
        <v>5653.439</v>
      </c>
      <c r="D70" s="17" t="n">
        <v>5125.843</v>
      </c>
      <c r="E70" s="17" t="n">
        <v>4126.453</v>
      </c>
      <c r="F70" s="17" t="n">
        <v>5486.859</v>
      </c>
      <c r="G70" s="17" t="n">
        <v>5193.636</v>
      </c>
      <c r="H70" s="17" t="n">
        <v>7613.367</v>
      </c>
      <c r="I70" s="17" t="n">
        <v>8821.679</v>
      </c>
      <c r="J70" s="17" t="n">
        <v>10428.559</v>
      </c>
      <c r="K70" s="17" t="n">
        <v>8326.693</v>
      </c>
    </row>
    <row r="71" customFormat="false" ht="15" hidden="false" customHeight="false" outlineLevel="0" collapsed="false">
      <c r="B71" s="0" t="s">
        <v>179</v>
      </c>
      <c r="C71" s="17" t="n">
        <v>11438.552</v>
      </c>
      <c r="D71" s="17" t="n">
        <v>11619.957</v>
      </c>
      <c r="E71" s="17" t="n">
        <v>14725.696</v>
      </c>
      <c r="F71" s="17" t="n">
        <v>24541.616</v>
      </c>
      <c r="G71" s="17" t="n">
        <v>22475.119</v>
      </c>
      <c r="H71" s="17" t="n">
        <v>25017.103</v>
      </c>
      <c r="I71" s="17" t="n">
        <v>25116.475</v>
      </c>
      <c r="J71" s="17" t="n">
        <v>28074.399</v>
      </c>
      <c r="K71" s="17" t="n">
        <v>25947.546</v>
      </c>
    </row>
    <row r="72" customFormat="false" ht="15" hidden="false" customHeight="false" outlineLevel="0" collapsed="false">
      <c r="B72" s="0" t="s">
        <v>181</v>
      </c>
      <c r="C72" s="17" t="n">
        <v>23173.635</v>
      </c>
      <c r="D72" s="17" t="n">
        <v>22841.193</v>
      </c>
      <c r="E72" s="17" t="n">
        <v>31144.2</v>
      </c>
      <c r="F72" s="17" t="n">
        <v>27020.663</v>
      </c>
      <c r="G72" s="17" t="n">
        <v>35725.106</v>
      </c>
      <c r="H72" s="17" t="n">
        <v>37245.708</v>
      </c>
      <c r="I72" s="17" t="n">
        <v>48092.942</v>
      </c>
      <c r="J72" s="17" t="n">
        <v>42495.988</v>
      </c>
      <c r="K72" s="17" t="n">
        <v>45038.867</v>
      </c>
    </row>
    <row r="73" customFormat="false" ht="15" hidden="false" customHeight="false" outlineLevel="0" collapsed="false">
      <c r="B73" s="0" t="s">
        <v>183</v>
      </c>
      <c r="C73" s="17" t="n">
        <v>10013.44</v>
      </c>
      <c r="D73" s="17" t="n">
        <v>11361.932</v>
      </c>
      <c r="E73" s="17" t="n">
        <v>11251.505</v>
      </c>
      <c r="F73" s="17" t="n">
        <v>23374.389</v>
      </c>
      <c r="G73" s="17" t="n">
        <v>21816.044</v>
      </c>
      <c r="H73" s="17" t="n">
        <v>19684.838</v>
      </c>
      <c r="I73" s="17" t="n">
        <v>15459.116</v>
      </c>
      <c r="J73" s="17" t="n">
        <v>15736.35</v>
      </c>
      <c r="K73" s="17" t="n">
        <v>15240.376</v>
      </c>
    </row>
    <row r="74" customFormat="false" ht="15" hidden="false" customHeight="false" outlineLevel="0" collapsed="false">
      <c r="B74" s="0" t="s">
        <v>185</v>
      </c>
      <c r="C74" s="17" t="n">
        <v>1310.705</v>
      </c>
      <c r="D74" s="17" t="n">
        <v>1187.388</v>
      </c>
      <c r="E74" s="17" t="n">
        <v>1338.054</v>
      </c>
      <c r="F74" s="17" t="n">
        <v>3059.391</v>
      </c>
      <c r="G74" s="17" t="n">
        <v>2326.577</v>
      </c>
      <c r="H74" s="17" t="n">
        <v>2184.163</v>
      </c>
      <c r="I74" s="17" t="n">
        <v>3187.678</v>
      </c>
      <c r="J74" s="17" t="n">
        <v>2860.291</v>
      </c>
      <c r="K74" s="17" t="n">
        <v>3074.044</v>
      </c>
    </row>
    <row r="76" customFormat="false" ht="16.15" hidden="false" customHeight="false" outlineLevel="0" collapsed="false">
      <c r="B76" s="47" t="s">
        <v>10</v>
      </c>
    </row>
    <row r="77" customFormat="false" ht="15" hidden="false" customHeight="false" outlineLevel="0" collapsed="false">
      <c r="B77" s="13" t="s">
        <v>108</v>
      </c>
      <c r="C77" s="13" t="s">
        <v>109</v>
      </c>
      <c r="D77" s="13" t="s">
        <v>110</v>
      </c>
      <c r="E77" s="13" t="s">
        <v>111</v>
      </c>
      <c r="F77" s="13" t="s">
        <v>112</v>
      </c>
      <c r="G77" s="13" t="s">
        <v>113</v>
      </c>
      <c r="H77" s="13" t="s">
        <v>114</v>
      </c>
      <c r="I77" s="13" t="s">
        <v>115</v>
      </c>
      <c r="J77" s="13" t="s">
        <v>116</v>
      </c>
      <c r="K77" s="13" t="s">
        <v>117</v>
      </c>
    </row>
    <row r="78" customFormat="false" ht="15" hidden="false" customHeight="false" outlineLevel="0" collapsed="false">
      <c r="B78" s="0" t="s">
        <v>119</v>
      </c>
      <c r="C78" s="17" t="n">
        <v>46159.478</v>
      </c>
      <c r="D78" s="17" t="n">
        <v>39644.01</v>
      </c>
      <c r="E78" s="17" t="n">
        <v>43814.661</v>
      </c>
      <c r="F78" s="17" t="n">
        <v>78345.081</v>
      </c>
      <c r="G78" s="17" t="n">
        <v>82412.21</v>
      </c>
      <c r="H78" s="17" t="n">
        <v>68916.447</v>
      </c>
      <c r="I78" s="17" t="n">
        <v>67026.656</v>
      </c>
      <c r="J78" s="17" t="n">
        <v>69858.532</v>
      </c>
      <c r="K78" s="17" t="n">
        <v>69543.739</v>
      </c>
    </row>
    <row r="79" customFormat="false" ht="15" hidden="false" customHeight="false" outlineLevel="0" collapsed="false">
      <c r="B79" s="0" t="s">
        <v>121</v>
      </c>
      <c r="C79" s="17" t="n">
        <v>-40010.1</v>
      </c>
      <c r="D79" s="17" t="n">
        <v>-35440.726</v>
      </c>
      <c r="E79" s="17" t="n">
        <v>-37884.102</v>
      </c>
      <c r="F79" s="17" t="n">
        <v>-57527.721</v>
      </c>
      <c r="G79" s="17" t="n">
        <v>-63661.156</v>
      </c>
      <c r="H79" s="17" t="n">
        <v>-57583.992</v>
      </c>
      <c r="I79" s="17" t="n">
        <v>-57823.416</v>
      </c>
      <c r="J79" s="17" t="n">
        <v>-61891.039</v>
      </c>
      <c r="K79" s="17" t="n">
        <v>-60430.291</v>
      </c>
    </row>
    <row r="80" customFormat="false" ht="15" hidden="false" customHeight="false" outlineLevel="0" collapsed="false">
      <c r="B80" s="0" t="s">
        <v>123</v>
      </c>
      <c r="C80" s="17" t="n">
        <v>6149.378</v>
      </c>
      <c r="D80" s="17" t="n">
        <v>4203.284</v>
      </c>
      <c r="E80" s="17" t="n">
        <v>5930.559</v>
      </c>
      <c r="F80" s="17" t="n">
        <v>20817.36</v>
      </c>
      <c r="G80" s="17" t="n">
        <v>18751.054</v>
      </c>
      <c r="H80" s="17" t="n">
        <v>11332.455</v>
      </c>
      <c r="I80" s="17" t="n">
        <v>9203.24</v>
      </c>
      <c r="J80" s="17" t="n">
        <v>7967.493</v>
      </c>
      <c r="K80" s="17" t="n">
        <v>9113.448</v>
      </c>
    </row>
    <row r="81" customFormat="false" ht="15" hidden="false" customHeight="false" outlineLevel="0" collapsed="false">
      <c r="B81" s="0" t="s">
        <v>125</v>
      </c>
      <c r="C81" s="17" t="n">
        <v>-580.345</v>
      </c>
      <c r="D81" s="17" t="n">
        <v>-476.339</v>
      </c>
      <c r="E81" s="17" t="n">
        <v>-512.95</v>
      </c>
      <c r="F81" s="17" t="n">
        <v>-715.83</v>
      </c>
      <c r="G81" s="17" t="n">
        <v>-733.026</v>
      </c>
      <c r="H81" s="17" t="n">
        <v>-716.195</v>
      </c>
      <c r="I81" s="17" t="n">
        <v>-762.56</v>
      </c>
      <c r="J81" s="17" t="n">
        <v>-782.351</v>
      </c>
      <c r="K81" s="17" t="n">
        <v>-757.79</v>
      </c>
    </row>
    <row r="82" customFormat="false" ht="15" hidden="false" customHeight="false" outlineLevel="0" collapsed="false">
      <c r="B82" s="0" t="s">
        <v>127</v>
      </c>
      <c r="C82" s="17" t="n">
        <v>-1082.449</v>
      </c>
      <c r="D82" s="17" t="n">
        <v>-954.117</v>
      </c>
      <c r="E82" s="17" t="n">
        <v>-1017.435</v>
      </c>
      <c r="F82" s="17" t="n">
        <v>-1390.121</v>
      </c>
      <c r="G82" s="17" t="n">
        <v>-1454.592</v>
      </c>
      <c r="H82" s="17" t="n">
        <v>-1491.441</v>
      </c>
      <c r="I82" s="17" t="n">
        <v>-1404.059</v>
      </c>
      <c r="J82" s="17" t="n">
        <v>-1338.443</v>
      </c>
      <c r="K82" s="17" t="n">
        <v>-1302.351</v>
      </c>
    </row>
    <row r="83" customFormat="false" ht="15" hidden="false" customHeight="false" outlineLevel="0" collapsed="false">
      <c r="B83" s="0" t="s">
        <v>129</v>
      </c>
      <c r="C83" s="17" t="n">
        <v>0</v>
      </c>
      <c r="D83" s="17" t="n">
        <v>0</v>
      </c>
      <c r="E83" s="17" t="n">
        <v>-411.925</v>
      </c>
      <c r="F83" s="17" t="n">
        <v>0</v>
      </c>
      <c r="G83" s="17" t="n">
        <v>0</v>
      </c>
      <c r="H83" s="17" t="n">
        <v>0</v>
      </c>
      <c r="I83" s="17" t="n">
        <v>-199.627</v>
      </c>
      <c r="J83" s="17" t="n">
        <v>-1964.504</v>
      </c>
      <c r="K83" s="17" t="n">
        <v>-1964.504</v>
      </c>
    </row>
    <row r="84" customFormat="false" ht="15" hidden="false" customHeight="false" outlineLevel="0" collapsed="false">
      <c r="B84" s="0" t="s">
        <v>131</v>
      </c>
      <c r="C84" s="17" t="n">
        <v>-2102.152</v>
      </c>
      <c r="D84" s="17" t="n">
        <v>-1019.35</v>
      </c>
      <c r="E84" s="17" t="n">
        <v>-736.174</v>
      </c>
      <c r="F84" s="17" t="n">
        <v>205.662</v>
      </c>
      <c r="G84" s="17" t="n">
        <v>-999.601</v>
      </c>
      <c r="H84" s="17" t="n">
        <v>-879.728</v>
      </c>
      <c r="I84" s="17" t="n">
        <v>-1716.038</v>
      </c>
      <c r="J84" s="17" t="n">
        <v>-4228.425</v>
      </c>
      <c r="K84" s="17" t="n">
        <v>-4079.307</v>
      </c>
    </row>
    <row r="85" customFormat="false" ht="15" hidden="false" customHeight="false" outlineLevel="0" collapsed="false">
      <c r="B85" s="0" t="s">
        <v>133</v>
      </c>
      <c r="C85" s="17" t="n">
        <v>10.141</v>
      </c>
      <c r="D85" s="17" t="n">
        <v>-17.05</v>
      </c>
      <c r="E85" s="17" t="n">
        <v>152.569</v>
      </c>
      <c r="F85" s="17" t="n">
        <v>563.158</v>
      </c>
      <c r="G85" s="17" t="n">
        <v>1151.827</v>
      </c>
      <c r="H85" s="17" t="n">
        <v>827.606</v>
      </c>
      <c r="I85" s="17" t="n">
        <v>464.467</v>
      </c>
      <c r="J85" s="17" t="n">
        <v>95.622</v>
      </c>
      <c r="K85" s="17" t="n">
        <v>196.604</v>
      </c>
    </row>
    <row r="86" customFormat="false" ht="15" hidden="false" customHeight="false" outlineLevel="0" collapsed="false">
      <c r="B86" s="0" t="s">
        <v>135</v>
      </c>
      <c r="C86" s="17" t="n">
        <v>4047.226</v>
      </c>
      <c r="D86" s="17" t="n">
        <v>3183.934</v>
      </c>
      <c r="E86" s="17" t="n">
        <v>5194.385</v>
      </c>
      <c r="F86" s="17" t="n">
        <v>21023.022</v>
      </c>
      <c r="G86" s="17" t="n">
        <v>17751.453</v>
      </c>
      <c r="H86" s="17" t="n">
        <v>10452.727</v>
      </c>
      <c r="I86" s="17" t="n">
        <v>7487.202</v>
      </c>
      <c r="J86" s="17" t="n">
        <v>3739.068</v>
      </c>
      <c r="K86" s="17" t="n">
        <v>5034.141</v>
      </c>
    </row>
    <row r="87" customFormat="false" ht="15" hidden="false" customHeight="false" outlineLevel="0" collapsed="false">
      <c r="B87" s="0" t="s">
        <v>137</v>
      </c>
      <c r="C87" s="17" t="n">
        <v>-1889.795</v>
      </c>
      <c r="D87" s="17" t="n">
        <v>-1509.214</v>
      </c>
      <c r="E87" s="17" t="n">
        <v>-1698.707</v>
      </c>
      <c r="F87" s="17" t="n">
        <v>-750.454</v>
      </c>
      <c r="G87" s="17" t="n">
        <v>-1892.426</v>
      </c>
      <c r="H87" s="17" t="n">
        <v>-1106.122</v>
      </c>
      <c r="I87" s="17" t="n">
        <v>-2023.487</v>
      </c>
      <c r="J87" s="17" t="n">
        <v>-1214.621</v>
      </c>
      <c r="K87" s="17" t="n">
        <v>-1200.23</v>
      </c>
    </row>
    <row r="88" customFormat="false" ht="15" hidden="false" customHeight="false" outlineLevel="0" collapsed="false">
      <c r="B88" s="0" t="s">
        <v>139</v>
      </c>
      <c r="C88" s="17" t="n">
        <v>2157.431</v>
      </c>
      <c r="D88" s="17" t="n">
        <v>1674.72</v>
      </c>
      <c r="E88" s="17" t="n">
        <v>3495.678</v>
      </c>
      <c r="F88" s="17" t="n">
        <v>20272.568</v>
      </c>
      <c r="G88" s="17" t="n">
        <v>15859.027</v>
      </c>
      <c r="H88" s="17" t="n">
        <v>9346.605</v>
      </c>
      <c r="I88" s="17" t="n">
        <v>5463.715</v>
      </c>
      <c r="J88" s="17" t="n">
        <v>2524.447</v>
      </c>
      <c r="K88" s="17" t="n">
        <v>3833.911</v>
      </c>
    </row>
    <row r="89" customFormat="false" ht="15" hidden="false" customHeight="false" outlineLevel="0" collapsed="false">
      <c r="B89" s="0" t="s">
        <v>141</v>
      </c>
      <c r="C89" s="17" t="n">
        <v>168.951</v>
      </c>
      <c r="D89" s="17" t="n">
        <v>-457.833</v>
      </c>
      <c r="E89" s="17" t="n">
        <v>-1107.624</v>
      </c>
      <c r="F89" s="17" t="n">
        <v>-4713.63</v>
      </c>
      <c r="G89" s="17" t="n">
        <v>-4379.475</v>
      </c>
      <c r="H89" s="17" t="n">
        <v>-1809.622</v>
      </c>
      <c r="I89" s="17" t="n">
        <v>-864.653</v>
      </c>
      <c r="J89" s="17" t="n">
        <v>-1106.009</v>
      </c>
      <c r="K89" s="17" t="n">
        <v>-1558.373</v>
      </c>
    </row>
    <row r="90" customFormat="false" ht="15" hidden="false" customHeight="false" outlineLevel="0" collapsed="false">
      <c r="B90" s="0" t="s">
        <v>143</v>
      </c>
      <c r="C90" s="17" t="n">
        <v>2326.382</v>
      </c>
      <c r="D90" s="17" t="n">
        <v>1216.887</v>
      </c>
      <c r="E90" s="17" t="n">
        <v>2388.054</v>
      </c>
      <c r="F90" s="17" t="n">
        <v>15558.938</v>
      </c>
      <c r="G90" s="17" t="n">
        <v>11479.552</v>
      </c>
      <c r="H90" s="17" t="n">
        <v>7536.983</v>
      </c>
      <c r="I90" s="17" t="n">
        <v>4599.062</v>
      </c>
      <c r="J90" s="17" t="n">
        <v>1418.438</v>
      </c>
      <c r="K90" s="17" t="n">
        <v>2275.538</v>
      </c>
    </row>
    <row r="91" customFormat="false" ht="15" hidden="false" customHeight="false" outlineLevel="0" collapsed="false">
      <c r="B91" s="0" t="s">
        <v>145</v>
      </c>
      <c r="C91" s="17" t="n">
        <v>2303.868</v>
      </c>
      <c r="D91" s="17" t="n">
        <v>1203.736</v>
      </c>
      <c r="E91" s="17" t="n">
        <v>2365.763</v>
      </c>
      <c r="F91" s="17" t="n">
        <v>15494.111</v>
      </c>
      <c r="G91" s="17" t="n">
        <v>11425.512</v>
      </c>
      <c r="H91" s="17" t="n">
        <v>7501.565</v>
      </c>
      <c r="I91" s="17" t="n">
        <v>4566.317</v>
      </c>
      <c r="J91" s="17" t="n">
        <v>1387.02</v>
      </c>
      <c r="K91" s="17" t="n">
        <v>2237.081</v>
      </c>
    </row>
    <row r="92" customFormat="false" ht="15" hidden="false" customHeight="false" outlineLevel="0" collapsed="false">
      <c r="B92" s="0" t="s">
        <v>148</v>
      </c>
      <c r="C92" s="17" t="n">
        <v>1891.814</v>
      </c>
      <c r="D92" s="17" t="n">
        <v>2074.295</v>
      </c>
      <c r="E92" s="17" t="n">
        <v>2441.835</v>
      </c>
      <c r="F92" s="17" t="n">
        <v>2515.909</v>
      </c>
      <c r="G92" s="17" t="n">
        <v>2899.239</v>
      </c>
      <c r="H92" s="17" t="n">
        <v>3130.548</v>
      </c>
      <c r="I92" s="17" t="n">
        <v>3126.247</v>
      </c>
      <c r="J92" s="17" t="n">
        <v>3683.585</v>
      </c>
      <c r="K92" s="17" t="n">
        <v>3696.375</v>
      </c>
    </row>
    <row r="93" customFormat="false" ht="15" hidden="false" customHeight="false" outlineLevel="0" collapsed="false">
      <c r="B93" s="0" t="s">
        <v>150</v>
      </c>
      <c r="C93" s="17" t="n">
        <v>1999.683</v>
      </c>
      <c r="D93" s="17" t="n">
        <v>1642.792</v>
      </c>
      <c r="E93" s="17" t="n">
        <v>6407.906</v>
      </c>
      <c r="F93" s="17" t="n">
        <v>12516.933</v>
      </c>
      <c r="G93" s="17" t="n">
        <v>11150.338</v>
      </c>
      <c r="H93" s="17" t="n">
        <v>11138.71</v>
      </c>
      <c r="I93" s="17" t="n">
        <v>11381.243</v>
      </c>
      <c r="J93" s="17" t="n">
        <v>7987.454</v>
      </c>
      <c r="K93" s="17" t="n">
        <v>9116.445</v>
      </c>
    </row>
    <row r="94" customFormat="false" ht="15" hidden="false" customHeight="false" outlineLevel="0" collapsed="false">
      <c r="B94" s="0" t="s">
        <v>152</v>
      </c>
      <c r="C94" s="17" t="n">
        <v>1194.934</v>
      </c>
      <c r="D94" s="17" t="n">
        <v>1746.6</v>
      </c>
      <c r="E94" s="17" t="n">
        <v>1650.778</v>
      </c>
      <c r="F94" s="17" t="n">
        <v>3026.023</v>
      </c>
      <c r="G94" s="17" t="n">
        <v>4291.873</v>
      </c>
      <c r="H94" s="17" t="n">
        <v>5209.128</v>
      </c>
      <c r="I94" s="17" t="n">
        <v>5778.381</v>
      </c>
      <c r="J94" s="17" t="n">
        <v>6681.62</v>
      </c>
      <c r="K94" s="17" t="n">
        <v>5415.708</v>
      </c>
    </row>
    <row r="95" customFormat="false" ht="15" hidden="false" customHeight="false" outlineLevel="0" collapsed="false">
      <c r="B95" s="0" t="s">
        <v>154</v>
      </c>
      <c r="C95" s="17" t="n">
        <v>599.099</v>
      </c>
      <c r="D95" s="17" t="n">
        <v>484.173</v>
      </c>
      <c r="E95" s="17" t="n">
        <v>274.815</v>
      </c>
      <c r="F95" s="17" t="n">
        <v>5339.426</v>
      </c>
      <c r="G95" s="17" t="n">
        <v>5891.69</v>
      </c>
      <c r="H95" s="17" t="n">
        <v>2683.328</v>
      </c>
      <c r="I95" s="17" t="n">
        <v>1656.414</v>
      </c>
      <c r="J95" s="17" t="n">
        <v>1285.673</v>
      </c>
      <c r="K95" s="17" t="n">
        <v>1372.327</v>
      </c>
    </row>
    <row r="96" customFormat="false" ht="15" hidden="false" customHeight="false" outlineLevel="0" collapsed="false">
      <c r="B96" s="0" t="s">
        <v>157</v>
      </c>
      <c r="C96" s="17" t="n">
        <v>2890.144</v>
      </c>
      <c r="D96" s="17" t="n">
        <v>2641.652</v>
      </c>
      <c r="E96" s="17" t="n">
        <v>4617.204</v>
      </c>
      <c r="F96" s="17" t="n">
        <v>4160.654</v>
      </c>
      <c r="G96" s="17" t="n">
        <v>2475.863</v>
      </c>
      <c r="H96" s="17" t="n">
        <v>3005.645</v>
      </c>
      <c r="I96" s="17" t="n">
        <v>7767.813</v>
      </c>
      <c r="J96" s="17" t="n">
        <v>5929.17</v>
      </c>
      <c r="K96" s="17" t="n">
        <v>5155.232</v>
      </c>
    </row>
    <row r="97" customFormat="false" ht="15" hidden="false" customHeight="false" outlineLevel="0" collapsed="false">
      <c r="B97" s="0" t="s">
        <v>159</v>
      </c>
      <c r="C97" s="17" t="n">
        <v>459.47</v>
      </c>
      <c r="D97" s="17" t="n">
        <v>3652.949</v>
      </c>
      <c r="E97" s="17" t="n">
        <v>3041.143</v>
      </c>
      <c r="F97" s="17" t="n">
        <v>2626.212</v>
      </c>
      <c r="G97" s="17" t="n">
        <v>2959.135</v>
      </c>
      <c r="H97" s="17" t="n">
        <v>2338.097</v>
      </c>
      <c r="I97" s="17" t="n">
        <v>509.03</v>
      </c>
      <c r="J97" s="17" t="n">
        <v>445.627</v>
      </c>
      <c r="K97" s="17" t="n">
        <v>285.262</v>
      </c>
    </row>
    <row r="98" customFormat="false" ht="15" hidden="false" customHeight="false" outlineLevel="0" collapsed="false">
      <c r="B98" s="0" t="s">
        <v>161</v>
      </c>
      <c r="C98" s="17" t="n">
        <v>3201.656</v>
      </c>
      <c r="D98" s="17" t="n">
        <v>2672.37</v>
      </c>
      <c r="E98" s="17" t="n">
        <v>3737.27</v>
      </c>
      <c r="F98" s="17" t="n">
        <v>5414.075</v>
      </c>
      <c r="G98" s="17" t="n">
        <v>4999.004</v>
      </c>
      <c r="H98" s="17" t="n">
        <v>4875.394</v>
      </c>
      <c r="I98" s="17" t="n">
        <v>5176.958</v>
      </c>
      <c r="J98" s="17" t="n">
        <v>4810.64</v>
      </c>
      <c r="K98" s="17" t="n">
        <v>5999.384</v>
      </c>
    </row>
    <row r="99" customFormat="false" ht="15" hidden="false" customHeight="false" outlineLevel="0" collapsed="false">
      <c r="B99" s="0" t="s">
        <v>163</v>
      </c>
      <c r="C99" s="17" t="n">
        <v>9167.689</v>
      </c>
      <c r="D99" s="17" t="n">
        <v>7659.737</v>
      </c>
      <c r="E99" s="17" t="n">
        <v>9169.417</v>
      </c>
      <c r="F99" s="17" t="n">
        <v>16861.488</v>
      </c>
      <c r="G99" s="17" t="n">
        <v>17817.585</v>
      </c>
      <c r="H99" s="17" t="n">
        <v>15227.778</v>
      </c>
      <c r="I99" s="17" t="n">
        <v>16504.911</v>
      </c>
      <c r="J99" s="17" t="n">
        <v>14731.081</v>
      </c>
      <c r="K99" s="17" t="n">
        <v>16099.611</v>
      </c>
    </row>
    <row r="100" customFormat="false" ht="15" hidden="false" customHeight="false" outlineLevel="0" collapsed="false">
      <c r="B100" s="0" t="s">
        <v>165</v>
      </c>
      <c r="C100" s="17" t="n">
        <v>17503.082</v>
      </c>
      <c r="D100" s="17" t="n">
        <v>18235.713</v>
      </c>
      <c r="E100" s="17" t="n">
        <v>23409.453</v>
      </c>
      <c r="F100" s="17" t="n">
        <v>32640.477</v>
      </c>
      <c r="G100" s="17" t="n">
        <v>31257.422</v>
      </c>
      <c r="H100" s="17" t="n">
        <v>29197.937</v>
      </c>
      <c r="I100" s="17" t="n">
        <v>32669.423</v>
      </c>
      <c r="J100" s="17" t="n">
        <v>28605.081</v>
      </c>
      <c r="K100" s="17" t="n">
        <v>29438.649</v>
      </c>
    </row>
    <row r="101" customFormat="false" ht="15" hidden="false" customHeight="false" outlineLevel="0" collapsed="false">
      <c r="B101" s="0" t="s">
        <v>167</v>
      </c>
      <c r="C101" s="17" t="n">
        <v>1367.802</v>
      </c>
      <c r="D101" s="17" t="n">
        <v>1812.399</v>
      </c>
      <c r="E101" s="17" t="n">
        <v>2271.629</v>
      </c>
      <c r="F101" s="17" t="n">
        <v>3340.775</v>
      </c>
      <c r="G101" s="17" t="n">
        <v>3896.518</v>
      </c>
      <c r="H101" s="17" t="n">
        <v>3858.449</v>
      </c>
      <c r="I101" s="17" t="n">
        <v>4222.317</v>
      </c>
      <c r="J101" s="17" t="n">
        <v>3944.474</v>
      </c>
      <c r="K101" s="17" t="n">
        <v>3700.806</v>
      </c>
    </row>
    <row r="102" customFormat="false" ht="15" hidden="false" customHeight="false" outlineLevel="0" collapsed="false">
      <c r="B102" s="0" t="s">
        <v>169</v>
      </c>
      <c r="C102" s="17" t="n">
        <v>15546.481</v>
      </c>
      <c r="D102" s="17" t="n">
        <v>16678.807</v>
      </c>
      <c r="E102" s="17" t="n">
        <v>18068.226</v>
      </c>
      <c r="F102" s="17" t="n">
        <v>19603.53</v>
      </c>
      <c r="G102" s="17" t="n">
        <v>21383.61</v>
      </c>
      <c r="H102" s="17" t="n">
        <v>24063.184</v>
      </c>
      <c r="I102" s="17" t="n">
        <v>30760.008</v>
      </c>
      <c r="J102" s="17" t="n">
        <v>31912.295</v>
      </c>
      <c r="K102" s="17" t="n">
        <v>32283.184</v>
      </c>
    </row>
    <row r="103" customFormat="false" ht="15" hidden="false" customHeight="false" outlineLevel="0" collapsed="false">
      <c r="B103" s="0" t="s">
        <v>171</v>
      </c>
      <c r="C103" s="17" t="n">
        <v>9948.486</v>
      </c>
      <c r="D103" s="17" t="n">
        <v>10142.573</v>
      </c>
      <c r="E103" s="17" t="n">
        <v>12726.097</v>
      </c>
      <c r="F103" s="17" t="n">
        <v>12937.287</v>
      </c>
      <c r="G103" s="17" t="n">
        <v>12049.623</v>
      </c>
      <c r="H103" s="17" t="n">
        <v>11198.858</v>
      </c>
      <c r="I103" s="17" t="n">
        <v>14253.681</v>
      </c>
      <c r="J103" s="17" t="n">
        <v>12687.092</v>
      </c>
      <c r="K103" s="17" t="n">
        <v>11969.463</v>
      </c>
    </row>
    <row r="104" customFormat="false" ht="15" hidden="false" customHeight="false" outlineLevel="0" collapsed="false">
      <c r="B104" s="0" t="s">
        <v>173</v>
      </c>
      <c r="C104" s="17" t="n">
        <v>51281.029</v>
      </c>
      <c r="D104" s="17" t="n">
        <v>54002.97</v>
      </c>
      <c r="E104" s="17" t="n">
        <v>63123.009</v>
      </c>
      <c r="F104" s="17" t="n">
        <v>73814.613</v>
      </c>
      <c r="G104" s="17" t="n">
        <v>73798.652</v>
      </c>
      <c r="H104" s="17" t="n">
        <v>74885.144</v>
      </c>
      <c r="I104" s="17" t="n">
        <v>86814.493</v>
      </c>
      <c r="J104" s="17" t="n">
        <v>81688.175</v>
      </c>
      <c r="K104" s="17" t="n">
        <v>81972.713</v>
      </c>
    </row>
    <row r="105" customFormat="false" ht="15" hidden="false" customHeight="false" outlineLevel="0" collapsed="false">
      <c r="B105" s="0" t="s">
        <v>175</v>
      </c>
      <c r="C105" s="17" t="n">
        <v>4119.057</v>
      </c>
      <c r="D105" s="17" t="n">
        <v>3762.768</v>
      </c>
      <c r="E105" s="17" t="n">
        <v>5437.953</v>
      </c>
      <c r="F105" s="17" t="n">
        <v>8017.14</v>
      </c>
      <c r="G105" s="17" t="n">
        <v>6618.923</v>
      </c>
      <c r="H105" s="17" t="n">
        <v>5901.183</v>
      </c>
      <c r="I105" s="17" t="n">
        <v>5718.104</v>
      </c>
      <c r="J105" s="17" t="n">
        <v>5009.671</v>
      </c>
      <c r="K105" s="17" t="n">
        <v>6181.971</v>
      </c>
    </row>
    <row r="106" customFormat="false" ht="15" hidden="false" customHeight="false" outlineLevel="0" collapsed="false">
      <c r="B106" s="0" t="s">
        <v>177</v>
      </c>
      <c r="C106" s="17" t="n">
        <v>1824.938</v>
      </c>
      <c r="D106" s="17" t="n">
        <v>1562.226</v>
      </c>
      <c r="E106" s="17" t="n">
        <v>1431.506</v>
      </c>
      <c r="F106" s="17" t="n">
        <v>1766.493</v>
      </c>
      <c r="G106" s="17" t="n">
        <v>3121.148</v>
      </c>
      <c r="H106" s="17" t="n">
        <v>1797.622</v>
      </c>
      <c r="I106" s="17" t="n">
        <v>735.037</v>
      </c>
      <c r="J106" s="17" t="n">
        <v>941.904</v>
      </c>
      <c r="K106" s="17" t="n">
        <v>629.75</v>
      </c>
    </row>
    <row r="107" customFormat="false" ht="15" hidden="false" customHeight="false" outlineLevel="0" collapsed="false">
      <c r="B107" s="0" t="s">
        <v>179</v>
      </c>
      <c r="C107" s="17" t="n">
        <v>8504.253</v>
      </c>
      <c r="D107" s="17" t="n">
        <v>7424.537</v>
      </c>
      <c r="E107" s="17" t="n">
        <v>11482.143</v>
      </c>
      <c r="F107" s="17" t="n">
        <v>14036.814</v>
      </c>
      <c r="G107" s="17" t="n">
        <v>13462.581</v>
      </c>
      <c r="H107" s="17" t="n">
        <v>11284.612</v>
      </c>
      <c r="I107" s="17" t="n">
        <v>10851.391</v>
      </c>
      <c r="J107" s="17" t="n">
        <v>9887.42</v>
      </c>
      <c r="K107" s="17" t="n">
        <v>10257.691</v>
      </c>
    </row>
    <row r="108" customFormat="false" ht="15" hidden="false" customHeight="false" outlineLevel="0" collapsed="false">
      <c r="B108" s="0" t="s">
        <v>181</v>
      </c>
      <c r="C108" s="17" t="n">
        <v>13081.776</v>
      </c>
      <c r="D108" s="17" t="n">
        <v>14487.641</v>
      </c>
      <c r="E108" s="17" t="n">
        <v>16083.845</v>
      </c>
      <c r="F108" s="17" t="n">
        <v>12273.2</v>
      </c>
      <c r="G108" s="17" t="n">
        <v>9486.242</v>
      </c>
      <c r="H108" s="17" t="n">
        <v>9095.686</v>
      </c>
      <c r="I108" s="17" t="n">
        <v>12901.447</v>
      </c>
      <c r="J108" s="17" t="n">
        <v>13240.247</v>
      </c>
      <c r="K108" s="17" t="n">
        <v>12928.339</v>
      </c>
    </row>
    <row r="109" customFormat="false" ht="15" hidden="false" customHeight="false" outlineLevel="0" collapsed="false">
      <c r="B109" s="0" t="s">
        <v>183</v>
      </c>
      <c r="C109" s="17" t="n">
        <v>25938.571</v>
      </c>
      <c r="D109" s="17" t="n">
        <v>27173.127</v>
      </c>
      <c r="E109" s="17" t="n">
        <v>31085.21</v>
      </c>
      <c r="F109" s="17" t="n">
        <v>42815.649</v>
      </c>
      <c r="G109" s="17" t="n">
        <v>46298.193</v>
      </c>
      <c r="H109" s="17" t="n">
        <v>49238.863</v>
      </c>
      <c r="I109" s="17" t="n">
        <v>58173.786</v>
      </c>
      <c r="J109" s="17" t="n">
        <v>53798.489</v>
      </c>
      <c r="K109" s="17" t="n">
        <v>53734.748</v>
      </c>
    </row>
    <row r="110" customFormat="false" ht="15" hidden="false" customHeight="false" outlineLevel="0" collapsed="false">
      <c r="B110" s="0" t="s">
        <v>185</v>
      </c>
      <c r="C110" s="17" t="n">
        <v>207.967</v>
      </c>
      <c r="D110" s="17" t="n">
        <v>217.426</v>
      </c>
      <c r="E110" s="17" t="n">
        <v>224.939</v>
      </c>
      <c r="F110" s="17" t="n">
        <v>211.367</v>
      </c>
      <c r="G110" s="17" t="n">
        <v>181.999</v>
      </c>
      <c r="H110" s="17" t="n">
        <v>179.904</v>
      </c>
      <c r="I110" s="17" t="n">
        <v>225.027</v>
      </c>
      <c r="J110" s="17" t="n">
        <v>213.096</v>
      </c>
      <c r="K110" s="17" t="n">
        <v>190.194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2026-10-09T18:15:52Z</dcterms:created>
  <dc:creator>openpyxl</dc:creator>
  <dc:description/>
  <dc:language>en-US</dc:language>
  <cp:lastModifiedBy/>
  <dcterms:modified xsi:type="dcterms:W3CDTF">2026-10-09T18:15:53Z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