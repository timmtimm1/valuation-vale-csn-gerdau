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Histórico" sheetId="3" state="visible" r:id="rId3"/>
    <sheet name="Projeção" sheetId="4" state="visible" r:id="rId4"/>
    <sheet name="WACC" sheetId="5" state="visible" r:id="rId5"/>
    <sheet name="DCF" sheetId="6" state="visible" r:id="rId6"/>
    <sheet name="Múltiplos" sheetId="7" state="visible" r:id="rId7"/>
    <sheet name="Cená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;[Red]-0.0%"/>
    <numFmt numFmtId="165" formatCode="#,##0;[Red]-#,##0"/>
    <numFmt numFmtId="166" formatCode="0.00&quot;x&quot;"/>
    <numFmt numFmtId="167" formatCode="yyyy-mm-dd"/>
    <numFmt numFmtId="168" formatCode="DD/MM/YYYY"/>
    <numFmt numFmtId="169" formatCode="0.000"/>
    <numFmt numFmtId="170" formatCode="#,##0.0"/>
    <numFmt numFmtId="171" formatCode="&quot;R$&quot; #,##0.00;[Red]-&quot;R$&quot; #,##0.00"/>
    <numFmt numFmtId="172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color rgb="000000FF"/>
    </font>
    <font>
      <b val="1"/>
      <color rgb="00FFFFFF"/>
    </font>
    <font/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171" fontId="3" fillId="5" borderId="0" pivotButton="0" quotePrefix="0" xfId="0"/>
    <xf numFmtId="17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2" borderId="0" pivotButton="0" quotePrefix="0" xfId="0"/>
    <xf numFmtId="164" fontId="4" fillId="2" borderId="0" pivotButton="0" quotePrefix="0" xfId="0"/>
    <xf numFmtId="165" fontId="4" fillId="2" borderId="0" pivotButton="0" quotePrefix="0" xfId="0"/>
    <xf numFmtId="1" fontId="4" fillId="2" borderId="0" pivotButton="0" quotePrefix="0" xfId="0"/>
    <xf numFmtId="1" fontId="0" fillId="0" borderId="0" pivotButton="0" quotePrefix="0" xfId="0"/>
    <xf numFmtId="2" fontId="4" fillId="2" borderId="0" pivotButton="0" quotePrefix="0" xfId="0"/>
    <xf numFmtId="166" fontId="4" fillId="2" borderId="0" pivotButton="0" quotePrefix="0" xfId="0"/>
    <xf numFmtId="168" fontId="4" fillId="2" borderId="0" pivotButton="0" quotePrefix="0" xfId="0"/>
    <xf numFmtId="169" fontId="4" fillId="2" borderId="0" pivotButton="0" quotePrefix="0" xfId="0"/>
    <xf numFmtId="170" fontId="4" fillId="2" borderId="0" pivotButton="0" quotePrefix="0" xfId="0"/>
    <xf numFmtId="171" fontId="4" fillId="2" borderId="0" pivotButton="0" quotePrefix="0" xfId="0"/>
    <xf numFmtId="0" fontId="3" fillId="4" borderId="0" pivotButton="0" quotePrefix="0" xfId="0"/>
    <xf numFmtId="0" fontId="0" fillId="4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3" fillId="5" borderId="0" pivotButton="0" quotePrefix="0" xfId="0"/>
    <xf numFmtId="169" fontId="0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0" fillId="0" borderId="0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FCFF projetado (R$ milhões)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'Projeção'!$D$4:$H$4</f>
            </numRef>
          </cat>
          <val>
            <numRef>
              <f>'Projeção'!$D$31:$H$31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8" customWidth="1" min="2" max="2"/>
    <col width="2" customWidth="1" min="3" max="3"/>
    <col width="16" customWidth="1" min="4" max="4"/>
    <col width="4" customWidth="1" min="5" max="5"/>
  </cols>
  <sheetData>
    <row r="1">
      <c r="B1" s="1" t="inlineStr">
        <is>
          <t>Valuation - CSN (CSNA3)</t>
        </is>
      </c>
    </row>
    <row r="2">
      <c r="B2" s="2" t="inlineStr">
        <is>
          <t>Data-base 2026-06-30. Dados públicos da CVM e da B3. R$ milhões, salvo indicação.</t>
        </is>
      </c>
    </row>
    <row r="3">
      <c r="B3" s="3" t="inlineStr">
        <is>
          <t>Estudo acadêmico e de portfólio. Não é recomendação de compra ou venda. O resultado depende das premissas da aba Premissas, que nesta versão são uma proposta automática ainda não revisada.</t>
        </is>
      </c>
    </row>
    <row r="5">
      <c r="B5" s="4" t="inlineStr">
        <is>
          <t>Resultado no cenário em uso</t>
        </is>
      </c>
      <c r="C5" s="5" t="n"/>
      <c r="D5" s="5" t="inlineStr">
        <is>
          <t>Valor</t>
        </is>
      </c>
    </row>
    <row r="6">
      <c r="B6" s="6" t="inlineStr">
        <is>
          <t>Cenário</t>
        </is>
      </c>
      <c r="D6" s="7">
        <f>'Premissas'!D4</f>
        <v/>
      </c>
    </row>
    <row r="7">
      <c r="B7" s="8" t="inlineStr">
        <is>
          <t>Preço justo por ação (DCF)</t>
        </is>
      </c>
      <c r="D7" s="9">
        <f>'DCF'!$D$30</f>
        <v/>
      </c>
    </row>
    <row r="8">
      <c r="B8" s="6" t="inlineStr">
        <is>
          <t>Preço de mercado</t>
        </is>
      </c>
      <c r="D8" s="10">
        <f>'DCF'!D31</f>
        <v/>
      </c>
    </row>
    <row r="9">
      <c r="B9" s="6" t="inlineStr">
        <is>
          <t>Diferença para o mercado</t>
        </is>
      </c>
      <c r="D9" s="11">
        <f>'DCF'!$D$32</f>
        <v/>
      </c>
    </row>
    <row r="10">
      <c r="B10" s="6" t="inlineStr">
        <is>
          <t>Valor da empresa (EV)</t>
        </is>
      </c>
      <c r="D10" s="12">
        <f>'DCF'!$D$23</f>
        <v/>
      </c>
    </row>
    <row r="11">
      <c r="B11" s="6" t="inlineStr">
        <is>
          <t>Valor do acionista</t>
        </is>
      </c>
      <c r="D11" s="12">
        <f>'DCF'!$D$28</f>
        <v/>
      </c>
    </row>
    <row r="12">
      <c r="B12" s="6" t="inlineStr">
        <is>
          <t>WACC</t>
        </is>
      </c>
      <c r="D12" s="11">
        <f>'DCF'!D14</f>
        <v/>
      </c>
    </row>
    <row r="13">
      <c r="B13" s="6" t="inlineStr">
        <is>
          <t>Custo do capital próprio (Ke)</t>
        </is>
      </c>
      <c r="D13" s="11">
        <f>'DCF'!D40</f>
        <v/>
      </c>
    </row>
    <row r="14">
      <c r="B14" s="6" t="inlineStr">
        <is>
          <t>Crescimento na perpetuidade</t>
        </is>
      </c>
      <c r="D14" s="11">
        <f>'DCF'!D15</f>
        <v/>
      </c>
    </row>
    <row r="15">
      <c r="B15" s="6" t="inlineStr">
        <is>
          <t>Peso do valor terminal</t>
        </is>
      </c>
      <c r="D15" s="11">
        <f>'DCF'!D33</f>
        <v/>
      </c>
    </row>
    <row r="16">
      <c r="B16" s="6" t="inlineStr">
        <is>
          <t>Preço pelo fluxo do acionista (FCFE)</t>
        </is>
      </c>
      <c r="D16" s="10">
        <f>'DCF'!D44</f>
        <v/>
      </c>
    </row>
    <row r="18">
      <c r="B18" s="4" t="inlineStr">
        <is>
          <t>Como ler a planilha</t>
        </is>
      </c>
      <c r="C18" s="5" t="n"/>
      <c r="D18" s="5" t="inlineStr">
        <is>
          <t>Aba</t>
        </is>
      </c>
    </row>
    <row r="19">
      <c r="B19" t="inlineStr">
        <is>
          <t>Entradas do modelo e seletor de cenário. Comece por aqui.</t>
        </is>
      </c>
      <c r="D19" s="8" t="inlineStr">
        <is>
          <t>Premissas</t>
        </is>
      </c>
    </row>
    <row r="20">
      <c r="B20" t="inlineStr">
        <is>
          <t>DRE, balanço e fluxo de caixa da CVM, com indicadores.</t>
        </is>
      </c>
      <c r="D20" s="8" t="inlineStr">
        <is>
          <t>Histórico</t>
        </is>
      </c>
    </row>
    <row r="21">
      <c r="B21" t="inlineStr">
        <is>
          <t>Receita, custos, capex, depreciação, giro e as três demonstrações ligadas.</t>
        </is>
      </c>
      <c r="D21" s="8" t="inlineStr">
        <is>
          <t>Projeção</t>
        </is>
      </c>
    </row>
    <row r="22">
      <c r="B22" t="inlineStr">
        <is>
          <t>CAPM e custo médio ponderado de capital.</t>
        </is>
      </c>
      <c r="D22" s="8" t="inlineStr">
        <is>
          <t>WACC</t>
        </is>
      </c>
    </row>
    <row r="23">
      <c r="B23" t="inlineStr">
        <is>
          <t>FCFF e FCFE descontados, valor da empresa, valor do acionista, sensibilidade.</t>
        </is>
      </c>
      <c r="D23" s="8" t="inlineStr">
        <is>
          <t>DCF</t>
        </is>
      </c>
    </row>
    <row r="24">
      <c r="B24" t="inlineStr">
        <is>
          <t>EV/EBITDA, P/L e P/VP contra as comparáveis.</t>
        </is>
      </c>
      <c r="D24" s="8" t="inlineStr">
        <is>
          <t>Múltiplos</t>
        </is>
      </c>
    </row>
    <row r="25">
      <c r="B25" t="inlineStr">
        <is>
          <t>Entradas e saídas de caixa e comparativo pessimista, base e otimista.</t>
        </is>
      </c>
      <c r="D25" s="8" t="inlineStr">
        <is>
          <t>Cenários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6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0" customWidth="1" min="9" max="9"/>
  </cols>
  <sheetData>
    <row r="1">
      <c r="B1" s="1" t="inlineStr">
        <is>
          <t>Premissas - CSN (CSNA3)</t>
        </is>
      </c>
    </row>
    <row r="2">
      <c r="B2" s="2" t="inlineStr">
        <is>
          <t>Células azuis em fundo amarelo são entradas: troque e a planilha inteira recalcula. PROPOSTA AUTOMÁTICA, AINDA NÃO APROVADA</t>
        </is>
      </c>
    </row>
    <row r="3">
      <c r="L3" s="8" t="inlineStr">
        <is>
          <t>Cenários</t>
        </is>
      </c>
    </row>
    <row r="4">
      <c r="B4" s="8" t="inlineStr">
        <is>
          <t>Cenário em uso</t>
        </is>
      </c>
      <c r="D4" s="13" t="inlineStr">
        <is>
          <t>Base</t>
        </is>
      </c>
      <c r="L4" t="inlineStr">
        <is>
          <t>Pessimista</t>
        </is>
      </c>
    </row>
    <row r="5">
      <c r="B5" t="inlineStr">
        <is>
          <t>Número do cenário (1 pessimista, 2 base, 3 otimista)</t>
        </is>
      </c>
      <c r="D5">
        <f>MATCH(D4,L4:L6,0)</f>
        <v/>
      </c>
      <c r="L5" t="inlineStr">
        <is>
          <t>Base</t>
        </is>
      </c>
    </row>
    <row r="6">
      <c r="L6" t="inlineStr">
        <is>
          <t>Otimista</t>
        </is>
      </c>
    </row>
    <row r="7">
      <c r="B7" s="4" t="inlineStr">
        <is>
          <t>Cenário base (editável)</t>
        </is>
      </c>
      <c r="C7" s="5" t="n"/>
      <c r="D7" s="5" t="inlineStr">
        <is>
          <t>2026E</t>
        </is>
      </c>
      <c r="E7" s="5" t="inlineStr">
        <is>
          <t>2027E</t>
        </is>
      </c>
      <c r="F7" s="5" t="inlineStr">
        <is>
          <t>2028E</t>
        </is>
      </c>
      <c r="G7" s="5" t="inlineStr">
        <is>
          <t>2029E</t>
        </is>
      </c>
      <c r="H7" s="5" t="inlineStr">
        <is>
          <t>2030E</t>
        </is>
      </c>
      <c r="I7" s="5" t="inlineStr">
        <is>
          <t>De onde veio</t>
        </is>
      </c>
    </row>
    <row r="8">
      <c r="B8" s="6" t="inlineStr">
        <is>
          <t>Crescimento do volume vendido</t>
        </is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2" t="inlineStr">
        <is>
          <t>Volume constante. A CVM não publica toneladas: usar o guidance da empresa.</t>
        </is>
      </c>
    </row>
    <row r="9">
      <c r="B9" s="6" t="inlineStr">
        <is>
          <t>Variação do preço médio de venda</t>
        </is>
      </c>
      <c r="D9" s="14" t="n">
        <v>0.0069</v>
      </c>
      <c r="E9" s="14" t="n">
        <v>0.043</v>
      </c>
      <c r="F9" s="14" t="n">
        <v>0.038</v>
      </c>
      <c r="G9" s="14" t="n">
        <v>0.0351</v>
      </c>
      <c r="H9" s="14" t="n">
        <v>0.035</v>
      </c>
      <c r="I9" s="2" t="inlineStr">
        <is>
          <t>2026: receita dos últimos 12 meses (LTM 2T26) sobre 2025. 2027 em diante: IPCA esperado no Focus (preço constante em termos reais).</t>
        </is>
      </c>
    </row>
    <row r="10">
      <c r="B10" s="6" t="inlineStr">
        <is>
          <t>Inflação dos custos e despesas</t>
        </is>
      </c>
      <c r="D10" s="14" t="n">
        <v>-0.0042</v>
      </c>
      <c r="E10" s="14" t="n">
        <v>0.043</v>
      </c>
      <c r="F10" s="14" t="n">
        <v>0.038</v>
      </c>
      <c r="G10" s="14" t="n">
        <v>0.0351</v>
      </c>
      <c r="H10" s="14" t="n">
        <v>0.035</v>
      </c>
      <c r="I10" s="2" t="inlineStr">
        <is>
          <t>2026: custo caixa dos últimos 12 meses sobre 2025. 2027 em diante: IPCA esperado no Focus.</t>
        </is>
      </c>
    </row>
    <row r="11">
      <c r="B11" s="6" t="inlineStr">
        <is>
          <t>Outras receitas/despesas operacionais (% da receita)</t>
        </is>
      </c>
      <c r="D11" s="14" t="n">
        <v>-0.0767</v>
      </c>
      <c r="E11" s="14" t="n">
        <v>-0.06909999999999999</v>
      </c>
      <c r="F11" s="14" t="n">
        <v>-0.0616</v>
      </c>
      <c r="G11" s="14" t="n">
        <v>-0.0541</v>
      </c>
      <c r="H11" s="14" t="n">
        <v>-0.0465</v>
      </c>
      <c r="I11" s="2" t="inlineStr">
        <is>
          <t>Do nível dos últimos 12 meses até a mediana de 2021-2025.</t>
        </is>
      </c>
    </row>
    <row r="12">
      <c r="B12" s="6" t="inlineStr">
        <is>
          <t>Equivalência patrimonial (R$ milhões)</t>
        </is>
      </c>
      <c r="D12" s="15" t="n">
        <v>351.131</v>
      </c>
      <c r="E12" s="15" t="n">
        <v>351.131</v>
      </c>
      <c r="F12" s="15" t="n">
        <v>351.131</v>
      </c>
      <c r="G12" s="15" t="n">
        <v>351.131</v>
      </c>
      <c r="H12" s="15" t="n">
        <v>351.131</v>
      </c>
      <c r="I12" s="2" t="inlineStr">
        <is>
          <t>Mediana de 2021-2025, mantida.</t>
        </is>
      </c>
    </row>
    <row r="13">
      <c r="B13" s="6" t="inlineStr">
        <is>
          <t>Investimento - capex (% da receita)</t>
        </is>
      </c>
      <c r="D13" s="14" t="n">
        <v>0.1326</v>
      </c>
      <c r="E13" s="14" t="n">
        <v>0.1237</v>
      </c>
      <c r="F13" s="14" t="n">
        <v>0.1148</v>
      </c>
      <c r="G13" s="14" t="n">
        <v>0.1059</v>
      </c>
      <c r="H13" s="14" t="n">
        <v>0.097</v>
      </c>
      <c r="I13" s="2" t="inlineStr">
        <is>
          <t>Do nível dos últimos 12 meses até a mediana de 2021-2025.</t>
        </is>
      </c>
    </row>
    <row r="14">
      <c r="B14" s="6" t="inlineStr">
        <is>
          <t>Depreciação (% do ativo fixo inicial)</t>
        </is>
      </c>
      <c r="D14" s="14" t="n">
        <v>0.0983</v>
      </c>
      <c r="E14" s="14" t="n">
        <v>0.0983</v>
      </c>
      <c r="F14" s="14" t="n">
        <v>0.0983</v>
      </c>
      <c r="G14" s="14" t="n">
        <v>0.0983</v>
      </c>
      <c r="H14" s="14" t="n">
        <v>0.0983</v>
      </c>
      <c r="I14" s="2" t="inlineStr">
        <is>
          <t>Mediana de 2021-2025, mantida.</t>
        </is>
      </c>
    </row>
    <row r="15">
      <c r="B15" s="6" t="inlineStr">
        <is>
          <t>Prazo médio de recebimento (dias)</t>
        </is>
      </c>
      <c r="D15" s="16" t="n">
        <v>19.5303</v>
      </c>
      <c r="E15" s="16" t="n">
        <v>19.5303</v>
      </c>
      <c r="F15" s="16" t="n">
        <v>19.5303</v>
      </c>
      <c r="G15" s="16" t="n">
        <v>19.5303</v>
      </c>
      <c r="H15" s="16" t="n">
        <v>19.5303</v>
      </c>
      <c r="I15" s="2" t="inlineStr">
        <is>
          <t>Prazo de 2025, mantido.</t>
        </is>
      </c>
    </row>
    <row r="16">
      <c r="B16" s="6" t="inlineStr">
        <is>
          <t>Prazo médio de estoque (dias)</t>
        </is>
      </c>
      <c r="D16" s="16" t="n">
        <v>135.0709</v>
      </c>
      <c r="E16" s="16" t="n">
        <v>135.0709</v>
      </c>
      <c r="F16" s="16" t="n">
        <v>135.0709</v>
      </c>
      <c r="G16" s="16" t="n">
        <v>135.0709</v>
      </c>
      <c r="H16" s="16" t="n">
        <v>135.0709</v>
      </c>
      <c r="I16" s="2" t="inlineStr">
        <is>
          <t>Prazo de 2025, mantido.</t>
        </is>
      </c>
    </row>
    <row r="17">
      <c r="B17" s="6" t="inlineStr">
        <is>
          <t>Prazo médio de pagamento (dias)</t>
        </is>
      </c>
      <c r="D17" s="16" t="n">
        <v>92.53530000000001</v>
      </c>
      <c r="E17" s="16" t="n">
        <v>92.53530000000001</v>
      </c>
      <c r="F17" s="16" t="n">
        <v>92.53530000000001</v>
      </c>
      <c r="G17" s="16" t="n">
        <v>92.53530000000001</v>
      </c>
      <c r="H17" s="16" t="n">
        <v>92.53530000000001</v>
      </c>
      <c r="I17" s="2" t="inlineStr">
        <is>
          <t>Prazo de 2025, mantido.</t>
        </is>
      </c>
    </row>
    <row r="18">
      <c r="B18" s="6" t="inlineStr">
        <is>
          <t>Captação líquida de dívida (R$ milhões)</t>
        </is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2" t="inlineStr">
        <is>
          <t>Dívida bruta mantida no nível de 2025.</t>
        </is>
      </c>
    </row>
    <row r="20">
      <c r="B20" s="4" t="inlineStr">
        <is>
          <t>Choque dos cenários (soma ao cenário base)</t>
        </is>
      </c>
      <c r="C20" s="5" t="n"/>
      <c r="D20" s="5" t="inlineStr">
        <is>
          <t>2026E</t>
        </is>
      </c>
      <c r="E20" s="5" t="inlineStr">
        <is>
          <t>2027E</t>
        </is>
      </c>
      <c r="F20" s="5" t="inlineStr">
        <is>
          <t>2028E</t>
        </is>
      </c>
      <c r="G20" s="5" t="inlineStr">
        <is>
          <t>2029E</t>
        </is>
      </c>
      <c r="H20" s="5" t="inlineStr">
        <is>
          <t>2030E</t>
        </is>
      </c>
      <c r="I20" s="5" t="inlineStr">
        <is>
          <t>Choque de 5% no preço em 2027, mantido depois. Ilustrativo.</t>
        </is>
      </c>
    </row>
    <row r="21">
      <c r="B21" s="6" t="inlineStr">
        <is>
          <t>Crescimento do volume vendido - pessimista</t>
        </is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</row>
    <row r="22">
      <c r="B22" s="6" t="inlineStr">
        <is>
          <t>Crescimento do volume vendido - otimista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</row>
    <row r="23">
      <c r="B23" s="6" t="inlineStr">
        <is>
          <t>Variação do preço médio de venda - pessimista</t>
        </is>
      </c>
      <c r="D23" s="14" t="n">
        <v>0</v>
      </c>
      <c r="E23" s="14" t="n">
        <v>-0.05</v>
      </c>
      <c r="F23" s="14" t="n">
        <v>0</v>
      </c>
      <c r="G23" s="14" t="n">
        <v>0</v>
      </c>
      <c r="H23" s="14" t="n">
        <v>0</v>
      </c>
    </row>
    <row r="24">
      <c r="B24" s="6" t="inlineStr">
        <is>
          <t>Variação do preço médio de venda - otimista</t>
        </is>
      </c>
      <c r="D24" s="14" t="n">
        <v>0</v>
      </c>
      <c r="E24" s="14" t="n">
        <v>0.05</v>
      </c>
      <c r="F24" s="14" t="n">
        <v>0</v>
      </c>
      <c r="G24" s="14" t="n">
        <v>0</v>
      </c>
      <c r="H24" s="14" t="n">
        <v>0</v>
      </c>
    </row>
    <row r="25">
      <c r="B25" s="6" t="inlineStr">
        <is>
          <t>Inflação dos custos e despesas - pessimista</t>
        </is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</row>
    <row r="26">
      <c r="B26" s="6" t="inlineStr">
        <is>
          <t>Inflação dos custos e despesas - otimista</t>
        </is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</row>
    <row r="28">
      <c r="B28" s="4" t="inlineStr">
        <is>
          <t>Premissas em uso (o que a projeção lê)</t>
        </is>
      </c>
      <c r="C28" s="5" t="n"/>
      <c r="D28" s="5" t="inlineStr">
        <is>
          <t>2026E</t>
        </is>
      </c>
      <c r="E28" s="5" t="inlineStr">
        <is>
          <t>2027E</t>
        </is>
      </c>
      <c r="F28" s="5" t="inlineStr">
        <is>
          <t>2028E</t>
        </is>
      </c>
      <c r="G28" s="5" t="inlineStr">
        <is>
          <t>2029E</t>
        </is>
      </c>
      <c r="H28" s="5" t="inlineStr">
        <is>
          <t>2030E</t>
        </is>
      </c>
    </row>
    <row r="29">
      <c r="B29" s="6" t="inlineStr">
        <is>
          <t>Crescimento do volume vendido</t>
        </is>
      </c>
      <c r="D29" s="11">
        <f>D8+CHOOSE($D$5,D21,0,D22)</f>
        <v/>
      </c>
      <c r="E29" s="11">
        <f>E8+CHOOSE($D$5,E21,0,E22)</f>
        <v/>
      </c>
      <c r="F29" s="11">
        <f>F8+CHOOSE($D$5,F21,0,F22)</f>
        <v/>
      </c>
      <c r="G29" s="11">
        <f>G8+CHOOSE($D$5,G21,0,G22)</f>
        <v/>
      </c>
      <c r="H29" s="11">
        <f>H8+CHOOSE($D$5,H21,0,H22)</f>
        <v/>
      </c>
    </row>
    <row r="30">
      <c r="B30" s="6" t="inlineStr">
        <is>
          <t>Variação do preço médio de venda</t>
        </is>
      </c>
      <c r="D30" s="11">
        <f>D9+CHOOSE($D$5,D23,0,D24)</f>
        <v/>
      </c>
      <c r="E30" s="11">
        <f>E9+CHOOSE($D$5,E23,0,E24)</f>
        <v/>
      </c>
      <c r="F30" s="11">
        <f>F9+CHOOSE($D$5,F23,0,F24)</f>
        <v/>
      </c>
      <c r="G30" s="11">
        <f>G9+CHOOSE($D$5,G23,0,G24)</f>
        <v/>
      </c>
      <c r="H30" s="11">
        <f>H9+CHOOSE($D$5,H23,0,H24)</f>
        <v/>
      </c>
    </row>
    <row r="31">
      <c r="B31" s="6" t="inlineStr">
        <is>
          <t>Inflação dos custos e despesas</t>
        </is>
      </c>
      <c r="D31" s="11">
        <f>D10+CHOOSE($D$5,D25,0,D26)</f>
        <v/>
      </c>
      <c r="E31" s="11">
        <f>E10+CHOOSE($D$5,E25,0,E26)</f>
        <v/>
      </c>
      <c r="F31" s="11">
        <f>F10+CHOOSE($D$5,F25,0,F26)</f>
        <v/>
      </c>
      <c r="G31" s="11">
        <f>G10+CHOOSE($D$5,G25,0,G26)</f>
        <v/>
      </c>
      <c r="H31" s="11">
        <f>H10+CHOOSE($D$5,H25,0,H26)</f>
        <v/>
      </c>
    </row>
    <row r="32">
      <c r="B32" s="6" t="inlineStr">
        <is>
          <t>Outras receitas/despesas operacionais (% da receita)</t>
        </is>
      </c>
      <c r="D32" s="11">
        <f>D11</f>
        <v/>
      </c>
      <c r="E32" s="11">
        <f>E11</f>
        <v/>
      </c>
      <c r="F32" s="11">
        <f>F11</f>
        <v/>
      </c>
      <c r="G32" s="11">
        <f>G11</f>
        <v/>
      </c>
      <c r="H32" s="11">
        <f>H11</f>
        <v/>
      </c>
    </row>
    <row r="33">
      <c r="B33" s="6" t="inlineStr">
        <is>
          <t>Equivalência patrimonial (R$ milhões)</t>
        </is>
      </c>
      <c r="D33" s="12">
        <f>D12</f>
        <v/>
      </c>
      <c r="E33" s="12">
        <f>E12</f>
        <v/>
      </c>
      <c r="F33" s="12">
        <f>F12</f>
        <v/>
      </c>
      <c r="G33" s="12">
        <f>G12</f>
        <v/>
      </c>
      <c r="H33" s="12">
        <f>H12</f>
        <v/>
      </c>
    </row>
    <row r="34">
      <c r="B34" s="6" t="inlineStr">
        <is>
          <t>Investimento - capex (% da receita)</t>
        </is>
      </c>
      <c r="D34" s="11">
        <f>D13</f>
        <v/>
      </c>
      <c r="E34" s="11">
        <f>E13</f>
        <v/>
      </c>
      <c r="F34" s="11">
        <f>F13</f>
        <v/>
      </c>
      <c r="G34" s="11">
        <f>G13</f>
        <v/>
      </c>
      <c r="H34" s="11">
        <f>H13</f>
        <v/>
      </c>
    </row>
    <row r="35">
      <c r="B35" s="6" t="inlineStr">
        <is>
          <t>Depreciação (% do ativo fixo inicial)</t>
        </is>
      </c>
      <c r="D35" s="11">
        <f>D14</f>
        <v/>
      </c>
      <c r="E35" s="11">
        <f>E14</f>
        <v/>
      </c>
      <c r="F35" s="11">
        <f>F14</f>
        <v/>
      </c>
      <c r="G35" s="11">
        <f>G14</f>
        <v/>
      </c>
      <c r="H35" s="11">
        <f>H14</f>
        <v/>
      </c>
    </row>
    <row r="36">
      <c r="B36" s="6" t="inlineStr">
        <is>
          <t>Prazo médio de recebimento (dias)</t>
        </is>
      </c>
      <c r="D36" s="17">
        <f>D15</f>
        <v/>
      </c>
      <c r="E36" s="17">
        <f>E15</f>
        <v/>
      </c>
      <c r="F36" s="17">
        <f>F15</f>
        <v/>
      </c>
      <c r="G36" s="17">
        <f>G15</f>
        <v/>
      </c>
      <c r="H36" s="17">
        <f>H15</f>
        <v/>
      </c>
    </row>
    <row r="37">
      <c r="B37" s="6" t="inlineStr">
        <is>
          <t>Prazo médio de estoque (dias)</t>
        </is>
      </c>
      <c r="D37" s="17">
        <f>D16</f>
        <v/>
      </c>
      <c r="E37" s="17">
        <f>E16</f>
        <v/>
      </c>
      <c r="F37" s="17">
        <f>F16</f>
        <v/>
      </c>
      <c r="G37" s="17">
        <f>G16</f>
        <v/>
      </c>
      <c r="H37" s="17">
        <f>H16</f>
        <v/>
      </c>
    </row>
    <row r="38">
      <c r="B38" s="6" t="inlineStr">
        <is>
          <t>Prazo médio de pagamento (dias)</t>
        </is>
      </c>
      <c r="D38" s="17">
        <f>D17</f>
        <v/>
      </c>
      <c r="E38" s="17">
        <f>E17</f>
        <v/>
      </c>
      <c r="F38" s="17">
        <f>F17</f>
        <v/>
      </c>
      <c r="G38" s="17">
        <f>G17</f>
        <v/>
      </c>
      <c r="H38" s="17">
        <f>H17</f>
        <v/>
      </c>
    </row>
    <row r="39">
      <c r="B39" s="6" t="inlineStr">
        <is>
          <t>Captação líquida de dívida (R$ milhões)</t>
        </is>
      </c>
      <c r="D39" s="12">
        <f>D18</f>
        <v/>
      </c>
      <c r="E39" s="12">
        <f>E18</f>
        <v/>
      </c>
      <c r="F39" s="12">
        <f>F18</f>
        <v/>
      </c>
      <c r="G39" s="12">
        <f>G18</f>
        <v/>
      </c>
      <c r="H39" s="12">
        <f>H18</f>
        <v/>
      </c>
    </row>
    <row r="41">
      <c r="B41" s="4" t="inlineStr">
        <is>
          <t>Premissas gerais</t>
        </is>
      </c>
      <c r="C41" s="5" t="n"/>
      <c r="D41" s="5" t="inlineStr">
        <is>
          <t>Valor</t>
        </is>
      </c>
      <c r="E41" s="5" t="n"/>
      <c r="F41" s="5" t="n"/>
      <c r="G41" s="5" t="n"/>
      <c r="H41" s="5" t="n"/>
      <c r="I41" s="5" t="inlineStr">
        <is>
          <t>De onde veio</t>
        </is>
      </c>
    </row>
    <row r="42">
      <c r="B42" s="6" t="inlineStr">
        <is>
          <t>Alíquota de IR e CSLL</t>
        </is>
      </c>
      <c r="D42" s="14" t="n">
        <v>0.34</v>
      </c>
      <c r="I42" s="2" t="inlineStr">
        <is>
          <t>Alíquota nominal: IRPJ 25% + CSLL 9%.</t>
        </is>
      </c>
    </row>
    <row r="43">
      <c r="B43" s="6" t="inlineStr">
        <is>
          <t>Custo da dívida antes do imposto (Kd)</t>
        </is>
      </c>
      <c r="D43" s="14" t="n">
        <v>0.1291</v>
      </c>
      <c r="I43" s="2" t="inlineStr">
        <is>
          <t>Piso: a taxa do Tesouro prefixado de dez anos, sem spread de crédito. Custo implícito mediano 2023-2025: 14.2%.</t>
        </is>
      </c>
    </row>
    <row r="44">
      <c r="B44" s="6" t="inlineStr">
        <is>
          <t>Rendimento do caixa</t>
        </is>
      </c>
      <c r="D44" s="14" t="n">
        <v>0.0772</v>
      </c>
      <c r="I44" s="2" t="inlineStr">
        <is>
          <t>Mediana 2023-2025 da receita financeira sobre o caixa médio.</t>
        </is>
      </c>
    </row>
    <row r="45">
      <c r="B45" s="6" t="inlineStr">
        <is>
          <t>Dividendos (% do lucro)</t>
        </is>
      </c>
      <c r="D45" s="14" t="n">
        <v>0.242</v>
      </c>
      <c r="I45" s="2" t="inlineStr">
        <is>
          <t>Mediana 2021-2025 de dividendos pagos sobre lucro, limitada a 0-100%.</t>
        </is>
      </c>
    </row>
    <row r="46">
      <c r="B46" s="6" t="inlineStr">
        <is>
          <t>Juro sem risco (Rf)</t>
        </is>
      </c>
      <c r="D46" s="14" t="n">
        <v>0.1291</v>
      </c>
      <c r="I46" s="2" t="inlineStr">
        <is>
          <t>Tesouro prefixado de dez anos (em reais, nominal).</t>
        </is>
      </c>
    </row>
    <row r="47">
      <c r="B47" s="6" t="inlineStr">
        <is>
          <t>Beta</t>
        </is>
      </c>
      <c r="D47" s="18" t="n">
        <v>1.483</v>
      </c>
      <c r="I47" s="2" t="inlineStr">
        <is>
          <t>Regressão de 5 anos, retornos semanais contra o BOVA11, preços sem ajuste de proventos. Beta de 2 anos: 1.48.</t>
        </is>
      </c>
    </row>
    <row r="48">
      <c r="B48" s="6" t="inlineStr">
        <is>
          <t>Prêmio de risco de mercado</t>
        </is>
      </c>
      <c r="D48" s="14" t="n">
        <v>0.0423</v>
      </c>
      <c r="I48" s="2" t="inlineStr">
        <is>
          <t>Damodaran, mercado maduro. O risco-país já está no juro em reais.</t>
        </is>
      </c>
    </row>
    <row r="49">
      <c r="B49" s="6" t="inlineStr">
        <is>
          <t>Prêmio adicional (tamanho, risco específico)</t>
        </is>
      </c>
      <c r="D49" s="14" t="n">
        <v>0</v>
      </c>
      <c r="I49" s="2" t="inlineStr">
        <is>
          <t>Sem prêmio adicional.</t>
        </is>
      </c>
    </row>
    <row r="50">
      <c r="B50" s="6" t="inlineStr">
        <is>
          <t>Peso da dívida na estrutura de capital</t>
        </is>
      </c>
      <c r="D50" s="14" t="n">
        <v>0.8635</v>
      </c>
      <c r="I50" s="2" t="inlineStr">
        <is>
          <t>Dívida bruta do 2T26 sobre dívida mais valor de mercado.</t>
        </is>
      </c>
    </row>
    <row r="51">
      <c r="B51" s="6" t="inlineStr">
        <is>
          <t>Crescimento na perpetuidade (g)</t>
        </is>
      </c>
      <c r="D51" s="14" t="n">
        <v>0.035</v>
      </c>
      <c r="I51" s="2" t="inlineStr">
        <is>
          <t>IPCA esperado para 2030: crescimento real zero.</t>
        </is>
      </c>
    </row>
    <row r="52">
      <c r="B52" s="6" t="inlineStr">
        <is>
          <t>Capex na perpetuidade (múltiplo da depreciação)</t>
        </is>
      </c>
      <c r="D52" s="19" t="n">
        <v>1</v>
      </c>
      <c r="I52" s="2" t="inlineStr">
        <is>
          <t>Na perpetuidade a empresa reinveste o que deprecia.</t>
        </is>
      </c>
    </row>
    <row r="53">
      <c r="B53" s="6" t="inlineStr">
        <is>
          <t>Outros passivos tratados como dívida (R$ milhões)</t>
        </is>
      </c>
      <c r="D53" s="15" t="n">
        <v>0</v>
      </c>
      <c r="I53" s="2" t="inlineStr">
        <is>
          <t>Nenhum. Provisões (barragens, contingências) não entram como dívida.</t>
        </is>
      </c>
    </row>
    <row r="55">
      <c r="B55" s="4" t="inlineStr">
        <is>
          <t>Dados de mercado e datas</t>
        </is>
      </c>
      <c r="C55" s="5" t="n"/>
      <c r="D55" s="5" t="inlineStr">
        <is>
          <t>Valor</t>
        </is>
      </c>
      <c r="E55" s="5" t="n"/>
      <c r="F55" s="5" t="n"/>
      <c r="G55" s="5" t="n"/>
      <c r="H55" s="5" t="n"/>
      <c r="I55" s="5" t="inlineStr">
        <is>
          <t>Fonte</t>
        </is>
      </c>
    </row>
    <row r="56">
      <c r="B56" s="6" t="inlineStr">
        <is>
          <t>Data-base do valuation</t>
        </is>
      </c>
      <c r="D56" s="20" t="n">
        <v>46203</v>
      </c>
      <c r="I56" s="2" t="inlineStr">
        <is>
          <t>Último ITR.</t>
        </is>
      </c>
    </row>
    <row r="57">
      <c r="B57" s="6" t="inlineStr">
        <is>
          <t>Fração de 2026 que ainda falta</t>
        </is>
      </c>
      <c r="D57" s="21">
        <f>(DATE(2026,12,31)-D56)/365</f>
        <v/>
      </c>
      <c r="I57" s="2" t="inlineStr">
        <is>
          <t>Só essa parte do fluxo de 2026 entra no valor.</t>
        </is>
      </c>
    </row>
    <row r="58">
      <c r="B58" s="6" t="inlineStr">
        <is>
          <t>Ações em circulação (milhões)</t>
        </is>
      </c>
      <c r="D58" s="22" t="n">
        <v>1326.0939</v>
      </c>
      <c r="I58" s="2" t="inlineStr">
        <is>
          <t>CVM, composição do capital em 2026-06-30, sem tesouraria.</t>
        </is>
      </c>
    </row>
    <row r="59">
      <c r="B59" s="6" t="inlineStr">
        <is>
          <t>Preço da ação (R$)</t>
        </is>
      </c>
      <c r="D59" s="23" t="n">
        <v>6.36</v>
      </c>
      <c r="I59" s="2" t="inlineStr">
        <is>
          <t>B3, fechamento de 2026-10-08.</t>
        </is>
      </c>
    </row>
    <row r="60">
      <c r="B60" s="6" t="inlineStr">
        <is>
          <t>Valor de mercado (R$ milhões)</t>
        </is>
      </c>
      <c r="D60" s="15" t="n">
        <v>8433.9575</v>
      </c>
      <c r="I60" s="2" t="inlineStr">
        <is>
          <t>Ações em circulação pelo preço de cada classe.</t>
        </is>
      </c>
    </row>
  </sheetData>
  <dataValidations count="1">
    <dataValidation sqref="D4" showDropDown="0" showInputMessage="0" showErrorMessage="0" allowBlank="0" type="list">
      <formula1>$L$4:$L$6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" customWidth="1" min="12" max="12"/>
  </cols>
  <sheetData>
    <row r="1">
      <c r="B1" s="1" t="inlineStr">
        <is>
          <t>Histórico - CSN</t>
        </is>
      </c>
    </row>
    <row r="2">
      <c r="B2" s="2" t="inlineStr">
        <is>
          <t>Fonte: demonstrações consolidadas entregues à CVM (DFP e ITR). LTM = últimos doze meses; o balanço é o do trimestre.</t>
        </is>
      </c>
    </row>
    <row r="4">
      <c r="B4" s="4" t="inlineStr">
        <is>
          <t>R$ milhões</t>
        </is>
      </c>
      <c r="C4" s="5" t="inlineStr">
        <is>
          <t>2018</t>
        </is>
      </c>
      <c r="D4" s="5" t="inlineStr">
        <is>
          <t>2019</t>
        </is>
      </c>
      <c r="E4" s="5" t="inlineStr">
        <is>
          <t>2020</t>
        </is>
      </c>
      <c r="F4" s="5" t="inlineStr">
        <is>
          <t>2021</t>
        </is>
      </c>
      <c r="G4" s="5" t="inlineStr">
        <is>
          <t>2022</t>
        </is>
      </c>
      <c r="H4" s="5" t="inlineStr">
        <is>
          <t>2023</t>
        </is>
      </c>
      <c r="I4" s="5" t="inlineStr">
        <is>
          <t>2024</t>
        </is>
      </c>
      <c r="J4" s="5" t="inlineStr">
        <is>
          <t>2025</t>
        </is>
      </c>
      <c r="K4" s="5" t="inlineStr">
        <is>
          <t>LTM 2T26</t>
        </is>
      </c>
    </row>
    <row r="5">
      <c r="B5" s="24" t="inlineStr">
        <is>
          <t>Demonstração do resultado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</row>
    <row r="6">
      <c r="B6" s="6" t="inlineStr">
        <is>
          <t>Receita líquida</t>
        </is>
      </c>
      <c r="C6" s="12" t="n">
        <v>22968.885</v>
      </c>
      <c r="D6" s="12" t="n">
        <v>25436.417</v>
      </c>
      <c r="E6" s="12" t="n">
        <v>30064.02</v>
      </c>
      <c r="F6" s="12" t="n">
        <v>47912.039</v>
      </c>
      <c r="G6" s="12" t="n">
        <v>44362.12</v>
      </c>
      <c r="H6" s="12" t="n">
        <v>45437.95</v>
      </c>
      <c r="I6" s="12" t="n">
        <v>43687.46</v>
      </c>
      <c r="J6" s="12" t="n">
        <v>44797.946</v>
      </c>
      <c r="K6" s="12" t="n">
        <v>45106.972</v>
      </c>
    </row>
    <row r="7">
      <c r="B7" s="6" t="inlineStr">
        <is>
          <t>Custo dos produtos vendidos</t>
        </is>
      </c>
      <c r="C7" s="12" t="n">
        <v>-16105.657</v>
      </c>
      <c r="D7" s="12" t="n">
        <v>-17263.264</v>
      </c>
      <c r="E7" s="12" t="n">
        <v>-19124.901</v>
      </c>
      <c r="F7" s="12" t="n">
        <v>-25837.475</v>
      </c>
      <c r="G7" s="12" t="n">
        <v>-31054.016</v>
      </c>
      <c r="H7" s="12" t="n">
        <v>-33475.189</v>
      </c>
      <c r="I7" s="12" t="n">
        <v>-31990.696</v>
      </c>
      <c r="J7" s="12" t="n">
        <v>-32404.221</v>
      </c>
      <c r="K7" s="12" t="n">
        <v>-32517.962</v>
      </c>
    </row>
    <row r="8">
      <c r="B8" s="6" t="inlineStr">
        <is>
          <t>Lucro bruto</t>
        </is>
      </c>
      <c r="C8" s="12" t="n">
        <v>6863.228</v>
      </c>
      <c r="D8" s="12" t="n">
        <v>8173.153</v>
      </c>
      <c r="E8" s="12" t="n">
        <v>10939.119</v>
      </c>
      <c r="F8" s="12" t="n">
        <v>22074.564</v>
      </c>
      <c r="G8" s="12" t="n">
        <v>13308.104</v>
      </c>
      <c r="H8" s="12" t="n">
        <v>11962.761</v>
      </c>
      <c r="I8" s="12" t="n">
        <v>11696.764</v>
      </c>
      <c r="J8" s="12" t="n">
        <v>12393.725</v>
      </c>
      <c r="K8" s="12" t="n">
        <v>12589.01</v>
      </c>
    </row>
    <row r="9">
      <c r="B9" s="6" t="inlineStr">
        <is>
          <t>Despesas com vendas</t>
        </is>
      </c>
      <c r="C9" s="12" t="n">
        <v>-2263.688</v>
      </c>
      <c r="D9" s="12" t="n">
        <v>-2342.805</v>
      </c>
      <c r="E9" s="12" t="n">
        <v>-2004.417</v>
      </c>
      <c r="F9" s="12" t="n">
        <v>-2372.298</v>
      </c>
      <c r="G9" s="12" t="n">
        <v>-2575.818</v>
      </c>
      <c r="H9" s="12" t="n">
        <v>-3729.089</v>
      </c>
      <c r="I9" s="12" t="n">
        <v>-5453.297</v>
      </c>
      <c r="J9" s="12" t="n">
        <v>-5033.148</v>
      </c>
      <c r="K9" s="12" t="n">
        <v>-5210.199</v>
      </c>
    </row>
    <row r="10">
      <c r="B10" s="6" t="inlineStr">
        <is>
          <t>Despesas gerais e administrativas</t>
        </is>
      </c>
      <c r="C10" s="12" t="n">
        <v>-494.023</v>
      </c>
      <c r="D10" s="12" t="n">
        <v>-511.065</v>
      </c>
      <c r="E10" s="12" t="n">
        <v>-504.458</v>
      </c>
      <c r="F10" s="12" t="n">
        <v>-587.148</v>
      </c>
      <c r="G10" s="12" t="n">
        <v>-674.119</v>
      </c>
      <c r="H10" s="12" t="n">
        <v>-760.894</v>
      </c>
      <c r="I10" s="12" t="n">
        <v>-855.999</v>
      </c>
      <c r="J10" s="12" t="n">
        <v>-979.164</v>
      </c>
      <c r="K10" s="12" t="n">
        <v>-1009.541</v>
      </c>
    </row>
    <row r="11">
      <c r="B11" s="6" t="inlineStr">
        <is>
          <t>Total de despesas/receitas operacionais</t>
        </is>
      </c>
      <c r="C11" s="12" t="n">
        <v>83.33199999999999</v>
      </c>
      <c r="D11" s="12" t="n">
        <v>-4631.236</v>
      </c>
      <c r="E11" s="12" t="n">
        <v>-5224.682</v>
      </c>
      <c r="F11" s="12" t="n">
        <v>-1534.602</v>
      </c>
      <c r="G11" s="12" t="n">
        <v>-5666.642</v>
      </c>
      <c r="H11" s="12" t="n">
        <v>-6776.012</v>
      </c>
      <c r="I11" s="12" t="n">
        <v>-7426.742</v>
      </c>
      <c r="J11" s="12" t="n">
        <v>-7577.051</v>
      </c>
      <c r="K11" s="12" t="n">
        <v>-9243.593999999999</v>
      </c>
    </row>
    <row r="12">
      <c r="B12" s="6" t="inlineStr">
        <is>
          <t>Equivalência patrimonial</t>
        </is>
      </c>
      <c r="C12" s="12" t="n">
        <v>135.706</v>
      </c>
      <c r="D12" s="12" t="n">
        <v>125.715</v>
      </c>
      <c r="E12" s="12" t="n">
        <v>71.755</v>
      </c>
      <c r="F12" s="12" t="n">
        <v>182.504</v>
      </c>
      <c r="G12" s="12" t="n">
        <v>237.917</v>
      </c>
      <c r="H12" s="12" t="n">
        <v>351.131</v>
      </c>
      <c r="I12" s="12" t="n">
        <v>448.048</v>
      </c>
      <c r="J12" s="12" t="n">
        <v>518.744</v>
      </c>
      <c r="K12" s="12" t="n">
        <v>435.292</v>
      </c>
    </row>
    <row r="13">
      <c r="B13" s="6" t="inlineStr">
        <is>
          <t>EBIT (resultado antes do financeiro e dos tributos)</t>
        </is>
      </c>
      <c r="C13" s="12" t="n">
        <v>6946.56</v>
      </c>
      <c r="D13" s="12" t="n">
        <v>3541.917</v>
      </c>
      <c r="E13" s="12" t="n">
        <v>5714.437</v>
      </c>
      <c r="F13" s="12" t="n">
        <v>20539.962</v>
      </c>
      <c r="G13" s="12" t="n">
        <v>7641.462</v>
      </c>
      <c r="H13" s="12" t="n">
        <v>5186.749</v>
      </c>
      <c r="I13" s="12" t="n">
        <v>4270.022</v>
      </c>
      <c r="J13" s="12" t="n">
        <v>4816.674</v>
      </c>
      <c r="K13" s="12" t="n">
        <v>3345.416</v>
      </c>
    </row>
    <row r="14">
      <c r="B14" s="6" t="inlineStr">
        <is>
          <t>Resultado financeiro</t>
        </is>
      </c>
      <c r="C14" s="12" t="n">
        <v>-1495.643</v>
      </c>
      <c r="D14" s="12" t="n">
        <v>-2131.184</v>
      </c>
      <c r="E14" s="12" t="n">
        <v>-796.311</v>
      </c>
      <c r="F14" s="12" t="n">
        <v>-1944.184</v>
      </c>
      <c r="G14" s="12" t="n">
        <v>-3515.025</v>
      </c>
      <c r="H14" s="12" t="n">
        <v>-4151.382</v>
      </c>
      <c r="I14" s="12" t="n">
        <v>-5813.371</v>
      </c>
      <c r="J14" s="12" t="n">
        <v>-6496.192</v>
      </c>
      <c r="K14" s="12" t="n">
        <v>-5895.433</v>
      </c>
    </row>
    <row r="15">
      <c r="B15" s="6" t="inlineStr">
        <is>
          <t>Lucro antes dos tributos</t>
        </is>
      </c>
      <c r="C15" s="12" t="n">
        <v>5450.917</v>
      </c>
      <c r="D15" s="12" t="n">
        <v>1410.733</v>
      </c>
      <c r="E15" s="12" t="n">
        <v>4918.126</v>
      </c>
      <c r="F15" s="12" t="n">
        <v>18595.778</v>
      </c>
      <c r="G15" s="12" t="n">
        <v>4126.437</v>
      </c>
      <c r="H15" s="12" t="n">
        <v>1035.367</v>
      </c>
      <c r="I15" s="12" t="n">
        <v>-1543.349</v>
      </c>
      <c r="J15" s="12" t="n">
        <v>-1679.518</v>
      </c>
      <c r="K15" s="12" t="n">
        <v>-2550.017</v>
      </c>
    </row>
    <row r="16">
      <c r="B16" s="6" t="inlineStr">
        <is>
          <t>Imposto de renda e CSLL</t>
        </is>
      </c>
      <c r="C16" s="12" t="n">
        <v>-250.334</v>
      </c>
      <c r="D16" s="12" t="n">
        <v>833.778</v>
      </c>
      <c r="E16" s="12" t="n">
        <v>-625.508</v>
      </c>
      <c r="F16" s="12" t="n">
        <v>-5000.157</v>
      </c>
      <c r="G16" s="12" t="n">
        <v>-1958.739</v>
      </c>
      <c r="H16" s="12" t="n">
        <v>-632.718</v>
      </c>
      <c r="I16" s="12" t="n">
        <v>5.208</v>
      </c>
      <c r="J16" s="12" t="n">
        <v>172.792</v>
      </c>
      <c r="K16" s="12" t="n">
        <v>577.159</v>
      </c>
    </row>
    <row r="17">
      <c r="B17" s="6" t="inlineStr">
        <is>
          <t>Lucro líquido consolidado</t>
        </is>
      </c>
      <c r="C17" s="12" t="n">
        <v>5200.583</v>
      </c>
      <c r="D17" s="12" t="n">
        <v>2244.511</v>
      </c>
      <c r="E17" s="12" t="n">
        <v>4292.618</v>
      </c>
      <c r="F17" s="12" t="n">
        <v>13595.621</v>
      </c>
      <c r="G17" s="12" t="n">
        <v>2167.698</v>
      </c>
      <c r="H17" s="12" t="n">
        <v>402.649</v>
      </c>
      <c r="I17" s="12" t="n">
        <v>-1538.141</v>
      </c>
      <c r="J17" s="12" t="n">
        <v>-1506.726</v>
      </c>
      <c r="K17" s="12" t="n">
        <v>-1972.858</v>
      </c>
    </row>
    <row r="18">
      <c r="B18" s="6" t="inlineStr">
        <is>
          <t>Lucro atribuído aos controladores</t>
        </is>
      </c>
      <c r="C18" s="12" t="n">
        <v>5074.136</v>
      </c>
      <c r="D18" s="12" t="n">
        <v>1789.067</v>
      </c>
      <c r="E18" s="12" t="n">
        <v>3794.295</v>
      </c>
      <c r="F18" s="12" t="n">
        <v>12258.628</v>
      </c>
      <c r="G18" s="12" t="n">
        <v>1554.06</v>
      </c>
      <c r="H18" s="12" t="n">
        <v>-318.206</v>
      </c>
      <c r="I18" s="12" t="n">
        <v>-2591.851</v>
      </c>
      <c r="J18" s="12" t="n">
        <v>-2002.374</v>
      </c>
      <c r="K18" s="12" t="n">
        <v>-2626.882</v>
      </c>
    </row>
    <row r="19">
      <c r="B19" s="24" t="inlineStr">
        <is>
          <t>Fluxo de caixa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>
      <c r="B20" s="6" t="inlineStr">
        <is>
          <t>Depreciação, amortização e exaustão</t>
        </is>
      </c>
      <c r="C20" s="12" t="n">
        <v>1273.021</v>
      </c>
      <c r="D20" s="12" t="n">
        <v>1519.331</v>
      </c>
      <c r="E20" s="12" t="n">
        <v>2516.728</v>
      </c>
      <c r="F20" s="12" t="n">
        <v>2212.406</v>
      </c>
      <c r="G20" s="12" t="n">
        <v>2870.231</v>
      </c>
      <c r="H20" s="12" t="n">
        <v>3372.073</v>
      </c>
      <c r="I20" s="12" t="n">
        <v>3786.055</v>
      </c>
      <c r="J20" s="12" t="n">
        <v>4150.475</v>
      </c>
      <c r="K20" s="12" t="n">
        <v>4381.847</v>
      </c>
    </row>
    <row r="21">
      <c r="B21" s="6" t="inlineStr">
        <is>
          <t>Caixa das atividades operacionais</t>
        </is>
      </c>
      <c r="C21" s="12" t="n">
        <v>2208.105</v>
      </c>
      <c r="D21" s="12" t="n">
        <v>4871.879</v>
      </c>
      <c r="E21" s="12" t="n">
        <v>9576.874</v>
      </c>
      <c r="F21" s="12" t="n">
        <v>14793.263</v>
      </c>
      <c r="G21" s="12" t="n">
        <v>2042.793</v>
      </c>
      <c r="H21" s="12" t="n">
        <v>7292.608</v>
      </c>
      <c r="I21" s="12" t="n">
        <v>8650.504999999999</v>
      </c>
      <c r="J21" s="12" t="n">
        <v>-973.179</v>
      </c>
      <c r="K21" s="12" t="n">
        <v>-245</v>
      </c>
    </row>
    <row r="22">
      <c r="B22" s="6" t="inlineStr">
        <is>
          <t>Investimento em imobilizado e intangível (capex)</t>
        </is>
      </c>
      <c r="C22" s="12" t="n">
        <v>1319.302</v>
      </c>
      <c r="D22" s="12" t="n">
        <v>2215.883</v>
      </c>
      <c r="E22" s="12" t="n">
        <v>1683.839</v>
      </c>
      <c r="F22" s="12" t="n">
        <v>2864.707</v>
      </c>
      <c r="G22" s="12" t="n">
        <v>3352.21</v>
      </c>
      <c r="H22" s="12" t="n">
        <v>4408.119</v>
      </c>
      <c r="I22" s="12" t="n">
        <v>5494.335</v>
      </c>
      <c r="J22" s="12" t="n">
        <v>5935.897</v>
      </c>
      <c r="K22" s="12" t="n">
        <v>5981.896</v>
      </c>
    </row>
    <row r="23">
      <c r="B23" s="6" t="inlineStr">
        <is>
          <t>Dividendos e JCP pagos</t>
        </is>
      </c>
      <c r="C23" s="12" t="n">
        <v>502.002</v>
      </c>
      <c r="D23" s="12" t="n">
        <v>1920.309</v>
      </c>
      <c r="E23" s="12" t="n">
        <v>309.35</v>
      </c>
      <c r="F23" s="12" t="n">
        <v>3290.544</v>
      </c>
      <c r="G23" s="12" t="n">
        <v>3756.738</v>
      </c>
      <c r="H23" s="12" t="n">
        <v>3980.871</v>
      </c>
      <c r="I23" s="12" t="n">
        <v>2535.325</v>
      </c>
      <c r="J23" s="12" t="n">
        <v>695.232</v>
      </c>
      <c r="K23" s="12" t="n">
        <v>905.831</v>
      </c>
    </row>
    <row r="24">
      <c r="B24" s="24" t="inlineStr">
        <is>
          <t>Balanço patrimonial</t>
        </is>
      </c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</row>
    <row r="25">
      <c r="B25" s="6" t="inlineStr">
        <is>
          <t>Caixa e equivalentes</t>
        </is>
      </c>
      <c r="C25" s="12" t="n">
        <v>2248.004</v>
      </c>
      <c r="D25" s="12" t="n">
        <v>1088.955</v>
      </c>
      <c r="E25" s="12" t="n">
        <v>9944.585999999999</v>
      </c>
      <c r="F25" s="12" t="n">
        <v>16646.48</v>
      </c>
      <c r="G25" s="12" t="n">
        <v>11991.356</v>
      </c>
      <c r="H25" s="12" t="n">
        <v>16046.218</v>
      </c>
      <c r="I25" s="12" t="n">
        <v>23310.197</v>
      </c>
      <c r="J25" s="12" t="n">
        <v>14421.022</v>
      </c>
      <c r="K25" s="12" t="n">
        <v>13630.963</v>
      </c>
    </row>
    <row r="26">
      <c r="B26" s="6" t="inlineStr">
        <is>
          <t>Aplicações financeiras</t>
        </is>
      </c>
      <c r="C26" s="12" t="n">
        <v>895.713</v>
      </c>
      <c r="D26" s="12" t="n">
        <v>2633.173</v>
      </c>
      <c r="E26" s="12" t="n">
        <v>3783.362</v>
      </c>
      <c r="F26" s="12" t="n">
        <v>2644.732</v>
      </c>
      <c r="G26" s="12" t="n">
        <v>1456.485</v>
      </c>
      <c r="H26" s="12" t="n">
        <v>1533.004</v>
      </c>
      <c r="I26" s="12" t="n">
        <v>911.378</v>
      </c>
      <c r="J26" s="12" t="n">
        <v>642.715</v>
      </c>
      <c r="K26" s="12" t="n">
        <v>654.7910000000001</v>
      </c>
    </row>
    <row r="27">
      <c r="B27" s="6" t="inlineStr">
        <is>
          <t>Contas a receber</t>
        </is>
      </c>
      <c r="C27" s="12" t="n">
        <v>2078.182</v>
      </c>
      <c r="D27" s="12" t="n">
        <v>2047.931</v>
      </c>
      <c r="E27" s="12" t="n">
        <v>2867.352</v>
      </c>
      <c r="F27" s="12" t="n">
        <v>2597.838</v>
      </c>
      <c r="G27" s="12" t="n">
        <v>3233.164</v>
      </c>
      <c r="H27" s="12" t="n">
        <v>3269.764</v>
      </c>
      <c r="I27" s="12" t="n">
        <v>2900.998</v>
      </c>
      <c r="J27" s="12" t="n">
        <v>2397.033</v>
      </c>
      <c r="K27" s="12" t="n">
        <v>2531.565</v>
      </c>
    </row>
    <row r="28">
      <c r="B28" s="6" t="inlineStr">
        <is>
          <t>Estoques</t>
        </is>
      </c>
      <c r="C28" s="12" t="n">
        <v>5039.56</v>
      </c>
      <c r="D28" s="12" t="n">
        <v>5282.75</v>
      </c>
      <c r="E28" s="12" t="n">
        <v>4817.586</v>
      </c>
      <c r="F28" s="12" t="n">
        <v>10943.835</v>
      </c>
      <c r="G28" s="12" t="n">
        <v>11289.229</v>
      </c>
      <c r="H28" s="12" t="n">
        <v>9557.578</v>
      </c>
      <c r="I28" s="12" t="n">
        <v>10439.741</v>
      </c>
      <c r="J28" s="12" t="n">
        <v>10455.5</v>
      </c>
      <c r="K28" s="12" t="n">
        <v>9368.174000000001</v>
      </c>
    </row>
    <row r="29">
      <c r="B29" s="6" t="inlineStr">
        <is>
          <t>Ativo circulante</t>
        </is>
      </c>
      <c r="C29" s="12" t="n">
        <v>12014.483</v>
      </c>
      <c r="D29" s="12" t="n">
        <v>12725.805</v>
      </c>
      <c r="E29" s="12" t="n">
        <v>23386.194</v>
      </c>
      <c r="F29" s="12" t="n">
        <v>34972.354</v>
      </c>
      <c r="G29" s="12" t="n">
        <v>30612.36</v>
      </c>
      <c r="H29" s="12" t="n">
        <v>33077.7</v>
      </c>
      <c r="I29" s="12" t="n">
        <v>39785.693</v>
      </c>
      <c r="J29" s="12" t="n">
        <v>30330.629</v>
      </c>
      <c r="K29" s="12" t="n">
        <v>29739.027</v>
      </c>
    </row>
    <row r="30">
      <c r="B30" s="6" t="inlineStr">
        <is>
          <t>Investimentos em coligadas</t>
        </is>
      </c>
      <c r="C30" s="12" t="n">
        <v>5630.613</v>
      </c>
      <c r="D30" s="12" t="n">
        <v>3584.169</v>
      </c>
      <c r="E30" s="12" t="n">
        <v>3695.78</v>
      </c>
      <c r="F30" s="12" t="n">
        <v>4011.828</v>
      </c>
      <c r="G30" s="12" t="n">
        <v>5219.082</v>
      </c>
      <c r="H30" s="12" t="n">
        <v>5443.131</v>
      </c>
      <c r="I30" s="12" t="n">
        <v>5948.051</v>
      </c>
      <c r="J30" s="12" t="n">
        <v>8292.026</v>
      </c>
      <c r="K30" s="12" t="n">
        <v>8810.278</v>
      </c>
    </row>
    <row r="31">
      <c r="B31" s="6" t="inlineStr">
        <is>
          <t>Imobilizado</t>
        </is>
      </c>
      <c r="C31" s="12" t="n">
        <v>18046.864</v>
      </c>
      <c r="D31" s="12" t="n">
        <v>19700.944</v>
      </c>
      <c r="E31" s="12" t="n">
        <v>19716.223</v>
      </c>
      <c r="F31" s="12" t="n">
        <v>21531.134</v>
      </c>
      <c r="G31" s="12" t="n">
        <v>26370.445</v>
      </c>
      <c r="H31" s="12" t="n">
        <v>27927.458</v>
      </c>
      <c r="I31" s="12" t="n">
        <v>30426.023</v>
      </c>
      <c r="J31" s="12" t="n">
        <v>33919.169</v>
      </c>
      <c r="K31" s="12" t="n">
        <v>34534.185</v>
      </c>
    </row>
    <row r="32">
      <c r="B32" s="6" t="inlineStr">
        <is>
          <t>Intangível</t>
        </is>
      </c>
      <c r="C32" s="12" t="n">
        <v>7253.175</v>
      </c>
      <c r="D32" s="12" t="n">
        <v>7231.781</v>
      </c>
      <c r="E32" s="12" t="n">
        <v>7316.794</v>
      </c>
      <c r="F32" s="12" t="n">
        <v>7657.05</v>
      </c>
      <c r="G32" s="12" t="n">
        <v>10788.054</v>
      </c>
      <c r="H32" s="12" t="n">
        <v>10536.481</v>
      </c>
      <c r="I32" s="12" t="n">
        <v>10438.091</v>
      </c>
      <c r="J32" s="12" t="n">
        <v>11006.125</v>
      </c>
      <c r="K32" s="12" t="n">
        <v>10900.309</v>
      </c>
    </row>
    <row r="33">
      <c r="B33" s="6" t="inlineStr">
        <is>
          <t>Ativo total</t>
        </is>
      </c>
      <c r="C33" s="12" t="n">
        <v>47327.524</v>
      </c>
      <c r="D33" s="12" t="n">
        <v>50869.276</v>
      </c>
      <c r="E33" s="12" t="n">
        <v>63002.149</v>
      </c>
      <c r="F33" s="12" t="n">
        <v>79379.103</v>
      </c>
      <c r="G33" s="12" t="n">
        <v>85354.359</v>
      </c>
      <c r="H33" s="12" t="n">
        <v>91529.72</v>
      </c>
      <c r="I33" s="12" t="n">
        <v>103906.654</v>
      </c>
      <c r="J33" s="12" t="n">
        <v>100575.369</v>
      </c>
      <c r="K33" s="12" t="n">
        <v>100602.032</v>
      </c>
    </row>
    <row r="34">
      <c r="B34" s="6" t="inlineStr">
        <is>
          <t>Fornecedores</t>
        </is>
      </c>
      <c r="C34" s="12" t="n">
        <v>3473.822</v>
      </c>
      <c r="D34" s="12" t="n">
        <v>3012.654</v>
      </c>
      <c r="E34" s="12" t="n">
        <v>4819.539</v>
      </c>
      <c r="F34" s="12" t="n">
        <v>6446.999</v>
      </c>
      <c r="G34" s="12" t="n">
        <v>6596.915</v>
      </c>
      <c r="H34" s="12" t="n">
        <v>7739.52</v>
      </c>
      <c r="I34" s="12" t="n">
        <v>7030.734</v>
      </c>
      <c r="J34" s="12" t="n">
        <v>7162.929</v>
      </c>
      <c r="K34" s="12" t="n">
        <v>7349.91</v>
      </c>
    </row>
    <row r="35">
      <c r="B35" s="6" t="inlineStr">
        <is>
          <t>Empréstimos e financiamentos - curto prazo</t>
        </is>
      </c>
      <c r="C35" s="12" t="n">
        <v>5653.439</v>
      </c>
      <c r="D35" s="12" t="n">
        <v>5125.843</v>
      </c>
      <c r="E35" s="12" t="n">
        <v>4126.453</v>
      </c>
      <c r="F35" s="12" t="n">
        <v>5486.859</v>
      </c>
      <c r="G35" s="12" t="n">
        <v>5193.636</v>
      </c>
      <c r="H35" s="12" t="n">
        <v>7613.367</v>
      </c>
      <c r="I35" s="12" t="n">
        <v>8821.679</v>
      </c>
      <c r="J35" s="12" t="n">
        <v>10428.559</v>
      </c>
      <c r="K35" s="12" t="n">
        <v>8326.692999999999</v>
      </c>
    </row>
    <row r="36">
      <c r="B36" s="6" t="inlineStr">
        <is>
          <t>Passivo circulante</t>
        </is>
      </c>
      <c r="C36" s="12" t="n">
        <v>11438.552</v>
      </c>
      <c r="D36" s="12" t="n">
        <v>11619.957</v>
      </c>
      <c r="E36" s="12" t="n">
        <v>14725.696</v>
      </c>
      <c r="F36" s="12" t="n">
        <v>24541.616</v>
      </c>
      <c r="G36" s="12" t="n">
        <v>22475.119</v>
      </c>
      <c r="H36" s="12" t="n">
        <v>25017.103</v>
      </c>
      <c r="I36" s="12" t="n">
        <v>25116.475</v>
      </c>
      <c r="J36" s="12" t="n">
        <v>28074.399</v>
      </c>
      <c r="K36" s="12" t="n">
        <v>25947.546</v>
      </c>
    </row>
    <row r="37">
      <c r="B37" s="6" t="inlineStr">
        <is>
          <t>Empréstimos e financiamentos - longo prazo</t>
        </is>
      </c>
      <c r="C37" s="12" t="n">
        <v>23173.635</v>
      </c>
      <c r="D37" s="12" t="n">
        <v>22841.193</v>
      </c>
      <c r="E37" s="12" t="n">
        <v>31144.2</v>
      </c>
      <c r="F37" s="12" t="n">
        <v>27020.663</v>
      </c>
      <c r="G37" s="12" t="n">
        <v>35725.106</v>
      </c>
      <c r="H37" s="12" t="n">
        <v>37245.708</v>
      </c>
      <c r="I37" s="12" t="n">
        <v>48092.942</v>
      </c>
      <c r="J37" s="12" t="n">
        <v>42495.988</v>
      </c>
      <c r="K37" s="12" t="n">
        <v>45038.867</v>
      </c>
    </row>
    <row r="38">
      <c r="B38" s="6" t="inlineStr">
        <is>
          <t>Patrimônio líquido consolidado</t>
        </is>
      </c>
      <c r="C38" s="12" t="n">
        <v>10013.44</v>
      </c>
      <c r="D38" s="12" t="n">
        <v>11361.932</v>
      </c>
      <c r="E38" s="12" t="n">
        <v>11251.505</v>
      </c>
      <c r="F38" s="12" t="n">
        <v>23374.389</v>
      </c>
      <c r="G38" s="12" t="n">
        <v>21816.044</v>
      </c>
      <c r="H38" s="12" t="n">
        <v>19684.838</v>
      </c>
      <c r="I38" s="12" t="n">
        <v>15459.116</v>
      </c>
      <c r="J38" s="12" t="n">
        <v>15736.35</v>
      </c>
      <c r="K38" s="12" t="n">
        <v>15240.376</v>
      </c>
    </row>
    <row r="39">
      <c r="B39" s="6" t="inlineStr">
        <is>
          <t>Participação de não controladores</t>
        </is>
      </c>
      <c r="C39" s="12" t="n">
        <v>1310.705</v>
      </c>
      <c r="D39" s="12" t="n">
        <v>1187.388</v>
      </c>
      <c r="E39" s="12" t="n">
        <v>1338.054</v>
      </c>
      <c r="F39" s="12" t="n">
        <v>3059.391</v>
      </c>
      <c r="G39" s="12" t="n">
        <v>2326.577</v>
      </c>
      <c r="H39" s="12" t="n">
        <v>2184.163</v>
      </c>
      <c r="I39" s="12" t="n">
        <v>3187.678</v>
      </c>
      <c r="J39" s="12" t="n">
        <v>2860.291</v>
      </c>
      <c r="K39" s="12" t="n">
        <v>3074.044</v>
      </c>
    </row>
    <row r="40">
      <c r="B40" s="24" t="inlineStr">
        <is>
          <t>Indicadores (fórmulas)</t>
        </is>
      </c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>
      <c r="B41" s="6" t="inlineStr">
        <is>
          <t>EBITDA (EBIT + depreciação)</t>
        </is>
      </c>
      <c r="C41" s="12">
        <f>C13+C20</f>
        <v/>
      </c>
      <c r="D41" s="12">
        <f>D13+D20</f>
        <v/>
      </c>
      <c r="E41" s="12">
        <f>E13+E20</f>
        <v/>
      </c>
      <c r="F41" s="12">
        <f>F13+F20</f>
        <v/>
      </c>
      <c r="G41" s="12">
        <f>G13+G20</f>
        <v/>
      </c>
      <c r="H41" s="12">
        <f>H13+H20</f>
        <v/>
      </c>
      <c r="I41" s="12">
        <f>I13+I20</f>
        <v/>
      </c>
      <c r="J41" s="12">
        <f>J13+J20</f>
        <v/>
      </c>
      <c r="K41" s="12">
        <f>K13+K20</f>
        <v/>
      </c>
    </row>
    <row r="42">
      <c r="B42" s="6" t="inlineStr">
        <is>
          <t>Custo caixa (custo sem depreciação)</t>
        </is>
      </c>
      <c r="C42" s="12">
        <f>C7+C20</f>
        <v/>
      </c>
      <c r="D42" s="12">
        <f>D7+D20</f>
        <v/>
      </c>
      <c r="E42" s="12">
        <f>E7+E20</f>
        <v/>
      </c>
      <c r="F42" s="12">
        <f>F7+F20</f>
        <v/>
      </c>
      <c r="G42" s="12">
        <f>G7+G20</f>
        <v/>
      </c>
      <c r="H42" s="12">
        <f>H7+H20</f>
        <v/>
      </c>
      <c r="I42" s="12">
        <f>I7+I20</f>
        <v/>
      </c>
      <c r="J42" s="12">
        <f>J7+J20</f>
        <v/>
      </c>
      <c r="K42" s="12">
        <f>K7+K20</f>
        <v/>
      </c>
    </row>
    <row r="43">
      <c r="B43" s="6" t="inlineStr">
        <is>
          <t>Outras receitas/despesas operacionais</t>
        </is>
      </c>
      <c r="C43" s="12">
        <f>C11-C9-C10-C12</f>
        <v/>
      </c>
      <c r="D43" s="12">
        <f>D11-D9-D10-D12</f>
        <v/>
      </c>
      <c r="E43" s="12">
        <f>E11-E9-E10-E12</f>
        <v/>
      </c>
      <c r="F43" s="12">
        <f>F11-F9-F10-F12</f>
        <v/>
      </c>
      <c r="G43" s="12">
        <f>G11-G9-G10-G12</f>
        <v/>
      </c>
      <c r="H43" s="12">
        <f>H11-H9-H10-H12</f>
        <v/>
      </c>
      <c r="I43" s="12">
        <f>I11-I9-I10-I12</f>
        <v/>
      </c>
      <c r="J43" s="12">
        <f>J11-J9-J10-J12</f>
        <v/>
      </c>
      <c r="K43" s="12">
        <f>K11-K9-K10-K12</f>
        <v/>
      </c>
    </row>
    <row r="44">
      <c r="B44" s="6" t="inlineStr">
        <is>
          <t>NOPAT (lucro operacional após imposto)</t>
        </is>
      </c>
      <c r="C44" s="12">
        <f>(C13-C12)*(1-'Premissas'!$D$42)</f>
        <v/>
      </c>
      <c r="D44" s="12">
        <f>(D13-D12)*(1-'Premissas'!$D$42)</f>
        <v/>
      </c>
      <c r="E44" s="12">
        <f>(E13-E12)*(1-'Premissas'!$D$42)</f>
        <v/>
      </c>
      <c r="F44" s="12">
        <f>(F13-F12)*(1-'Premissas'!$D$42)</f>
        <v/>
      </c>
      <c r="G44" s="12">
        <f>(G13-G12)*(1-'Premissas'!$D$42)</f>
        <v/>
      </c>
      <c r="H44" s="12">
        <f>(H13-H12)*(1-'Premissas'!$D$42)</f>
        <v/>
      </c>
      <c r="I44" s="12">
        <f>(I13-I12)*(1-'Premissas'!$D$42)</f>
        <v/>
      </c>
      <c r="J44" s="12">
        <f>(J13-J12)*(1-'Premissas'!$D$42)</f>
        <v/>
      </c>
      <c r="K44" s="12">
        <f>(K13-K12)*(1-'Premissas'!$D$42)</f>
        <v/>
      </c>
    </row>
    <row r="45">
      <c r="B45" s="6" t="inlineStr">
        <is>
          <t>Crescimento da receita</t>
        </is>
      </c>
      <c r="D45" s="11">
        <f>D6/C6-1</f>
        <v/>
      </c>
      <c r="E45" s="11">
        <f>E6/D6-1</f>
        <v/>
      </c>
      <c r="F45" s="11">
        <f>F6/E6-1</f>
        <v/>
      </c>
      <c r="G45" s="11">
        <f>G6/F6-1</f>
        <v/>
      </c>
      <c r="H45" s="11">
        <f>H6/G6-1</f>
        <v/>
      </c>
      <c r="I45" s="11">
        <f>I6/H6-1</f>
        <v/>
      </c>
      <c r="J45" s="11">
        <f>J6/I6-1</f>
        <v/>
      </c>
      <c r="K45" s="11">
        <f>K6/J6-1</f>
        <v/>
      </c>
    </row>
    <row r="46">
      <c r="B46" s="6" t="inlineStr">
        <is>
          <t>Margem bruta</t>
        </is>
      </c>
      <c r="C46" s="11">
        <f>C8/C6</f>
        <v/>
      </c>
      <c r="D46" s="11">
        <f>D8/D6</f>
        <v/>
      </c>
      <c r="E46" s="11">
        <f>E8/E6</f>
        <v/>
      </c>
      <c r="F46" s="11">
        <f>F8/F6</f>
        <v/>
      </c>
      <c r="G46" s="11">
        <f>G8/G6</f>
        <v/>
      </c>
      <c r="H46" s="11">
        <f>H8/H6</f>
        <v/>
      </c>
      <c r="I46" s="11">
        <f>I8/I6</f>
        <v/>
      </c>
      <c r="J46" s="11">
        <f>J8/J6</f>
        <v/>
      </c>
      <c r="K46" s="11">
        <f>K8/K6</f>
        <v/>
      </c>
    </row>
    <row r="47">
      <c r="B47" s="6" t="inlineStr">
        <is>
          <t>Margem EBITDA</t>
        </is>
      </c>
      <c r="C47" s="11">
        <f>C41/C6</f>
        <v/>
      </c>
      <c r="D47" s="11">
        <f>D41/D6</f>
        <v/>
      </c>
      <c r="E47" s="11">
        <f>E41/E6</f>
        <v/>
      </c>
      <c r="F47" s="11">
        <f>F41/F6</f>
        <v/>
      </c>
      <c r="G47" s="11">
        <f>G41/G6</f>
        <v/>
      </c>
      <c r="H47" s="11">
        <f>H41/H6</f>
        <v/>
      </c>
      <c r="I47" s="11">
        <f>I41/I6</f>
        <v/>
      </c>
      <c r="J47" s="11">
        <f>J41/J6</f>
        <v/>
      </c>
      <c r="K47" s="11">
        <f>K41/K6</f>
        <v/>
      </c>
    </row>
    <row r="48">
      <c r="B48" s="6" t="inlineStr">
        <is>
          <t>Margem EBIT</t>
        </is>
      </c>
      <c r="C48" s="11">
        <f>C13/C6</f>
        <v/>
      </c>
      <c r="D48" s="11">
        <f>D13/D6</f>
        <v/>
      </c>
      <c r="E48" s="11">
        <f>E13/E6</f>
        <v/>
      </c>
      <c r="F48" s="11">
        <f>F13/F6</f>
        <v/>
      </c>
      <c r="G48" s="11">
        <f>G13/G6</f>
        <v/>
      </c>
      <c r="H48" s="11">
        <f>H13/H6</f>
        <v/>
      </c>
      <c r="I48" s="11">
        <f>I13/I6</f>
        <v/>
      </c>
      <c r="J48" s="11">
        <f>J13/J6</f>
        <v/>
      </c>
      <c r="K48" s="11">
        <f>K13/K6</f>
        <v/>
      </c>
    </row>
    <row r="49">
      <c r="B49" s="6" t="inlineStr">
        <is>
          <t>Margem líquida</t>
        </is>
      </c>
      <c r="C49" s="11">
        <f>C17/C6</f>
        <v/>
      </c>
      <c r="D49" s="11">
        <f>D17/D6</f>
        <v/>
      </c>
      <c r="E49" s="11">
        <f>E17/E6</f>
        <v/>
      </c>
      <c r="F49" s="11">
        <f>F17/F6</f>
        <v/>
      </c>
      <c r="G49" s="11">
        <f>G17/G6</f>
        <v/>
      </c>
      <c r="H49" s="11">
        <f>H17/H6</f>
        <v/>
      </c>
      <c r="I49" s="11">
        <f>I17/I6</f>
        <v/>
      </c>
      <c r="J49" s="11">
        <f>J17/J6</f>
        <v/>
      </c>
      <c r="K49" s="11">
        <f>K17/K6</f>
        <v/>
      </c>
    </row>
    <row r="50">
      <c r="B50" s="6" t="inlineStr">
        <is>
          <t>Outras operacionais / receita</t>
        </is>
      </c>
      <c r="C50" s="11">
        <f>C43/C6</f>
        <v/>
      </c>
      <c r="D50" s="11">
        <f>D43/D6</f>
        <v/>
      </c>
      <c r="E50" s="11">
        <f>E43/E6</f>
        <v/>
      </c>
      <c r="F50" s="11">
        <f>F43/F6</f>
        <v/>
      </c>
      <c r="G50" s="11">
        <f>G43/G6</f>
        <v/>
      </c>
      <c r="H50" s="11">
        <f>H43/H6</f>
        <v/>
      </c>
      <c r="I50" s="11">
        <f>I43/I6</f>
        <v/>
      </c>
      <c r="J50" s="11">
        <f>J43/J6</f>
        <v/>
      </c>
      <c r="K50" s="11">
        <f>K43/K6</f>
        <v/>
      </c>
    </row>
    <row r="51">
      <c r="B51" s="6" t="inlineStr">
        <is>
          <t>Capex / receita</t>
        </is>
      </c>
      <c r="C51" s="11">
        <f>C22/C6</f>
        <v/>
      </c>
      <c r="D51" s="11">
        <f>D22/D6</f>
        <v/>
      </c>
      <c r="E51" s="11">
        <f>E22/E6</f>
        <v/>
      </c>
      <c r="F51" s="11">
        <f>F22/F6</f>
        <v/>
      </c>
      <c r="G51" s="11">
        <f>G22/G6</f>
        <v/>
      </c>
      <c r="H51" s="11">
        <f>H22/H6</f>
        <v/>
      </c>
      <c r="I51" s="11">
        <f>I22/I6</f>
        <v/>
      </c>
      <c r="J51" s="11">
        <f>J22/J6</f>
        <v/>
      </c>
      <c r="K51" s="11">
        <f>K22/K6</f>
        <v/>
      </c>
    </row>
    <row r="52">
      <c r="B52" s="6" t="inlineStr">
        <is>
          <t>Ativo fixo (imobilizado + intangível)</t>
        </is>
      </c>
      <c r="C52" s="12">
        <f>C31+C32</f>
        <v/>
      </c>
      <c r="D52" s="12">
        <f>D31+D32</f>
        <v/>
      </c>
      <c r="E52" s="12">
        <f>E31+E32</f>
        <v/>
      </c>
      <c r="F52" s="12">
        <f>F31+F32</f>
        <v/>
      </c>
      <c r="G52" s="12">
        <f>G31+G32</f>
        <v/>
      </c>
      <c r="H52" s="12">
        <f>H31+H32</f>
        <v/>
      </c>
      <c r="I52" s="12">
        <f>I31+I32</f>
        <v/>
      </c>
      <c r="J52" s="12">
        <f>J31+J32</f>
        <v/>
      </c>
      <c r="K52" s="12">
        <f>K31+K32</f>
        <v/>
      </c>
    </row>
    <row r="53">
      <c r="B53" s="6" t="inlineStr">
        <is>
          <t>Depreciação / ativo fixo do ano anterior</t>
        </is>
      </c>
      <c r="D53" s="11">
        <f>D20/C52</f>
        <v/>
      </c>
      <c r="E53" s="11">
        <f>E20/D52</f>
        <v/>
      </c>
      <c r="F53" s="11">
        <f>F20/E52</f>
        <v/>
      </c>
      <c r="G53" s="11">
        <f>G20/F52</f>
        <v/>
      </c>
      <c r="H53" s="11">
        <f>H20/G52</f>
        <v/>
      </c>
      <c r="I53" s="11">
        <f>I20/H52</f>
        <v/>
      </c>
      <c r="J53" s="11">
        <f>J20/I52</f>
        <v/>
      </c>
      <c r="K53" s="11">
        <f>K20/J52</f>
        <v/>
      </c>
    </row>
    <row r="54">
      <c r="B54" s="6" t="inlineStr">
        <is>
          <t>Alíquota efetiva de imposto</t>
        </is>
      </c>
      <c r="C54" s="11">
        <f>-C16/C15</f>
        <v/>
      </c>
      <c r="D54" s="11">
        <f>-D16/D15</f>
        <v/>
      </c>
      <c r="E54" s="11">
        <f>-E16/E15</f>
        <v/>
      </c>
      <c r="F54" s="11">
        <f>-F16/F15</f>
        <v/>
      </c>
      <c r="G54" s="11">
        <f>-G16/G15</f>
        <v/>
      </c>
      <c r="H54" s="11">
        <f>-H16/H15</f>
        <v/>
      </c>
      <c r="I54" s="11">
        <f>-I16/I15</f>
        <v/>
      </c>
      <c r="J54" s="11">
        <f>-J16/J15</f>
        <v/>
      </c>
      <c r="K54" s="11">
        <f>-K16/K15</f>
        <v/>
      </c>
    </row>
    <row r="55">
      <c r="B55" s="6" t="inlineStr">
        <is>
          <t>Prazo médio de recebimento (dias)</t>
        </is>
      </c>
      <c r="C55" s="17">
        <f>C27/C6*365</f>
        <v/>
      </c>
      <c r="D55" s="17">
        <f>D27/D6*365</f>
        <v/>
      </c>
      <c r="E55" s="17">
        <f>E27/E6*365</f>
        <v/>
      </c>
      <c r="F55" s="17">
        <f>F27/F6*365</f>
        <v/>
      </c>
      <c r="G55" s="17">
        <f>G27/G6*365</f>
        <v/>
      </c>
      <c r="H55" s="17">
        <f>H27/H6*365</f>
        <v/>
      </c>
      <c r="I55" s="17">
        <f>I27/I6*365</f>
        <v/>
      </c>
      <c r="J55" s="17">
        <f>J27/J6*365</f>
        <v/>
      </c>
      <c r="K55" s="17">
        <f>K27/K6*365</f>
        <v/>
      </c>
    </row>
    <row r="56">
      <c r="B56" s="6" t="inlineStr">
        <is>
          <t>Prazo médio de estoque (dias)</t>
        </is>
      </c>
      <c r="C56" s="17">
        <f>C28/-C42*365</f>
        <v/>
      </c>
      <c r="D56" s="17">
        <f>D28/-D42*365</f>
        <v/>
      </c>
      <c r="E56" s="17">
        <f>E28/-E42*365</f>
        <v/>
      </c>
      <c r="F56" s="17">
        <f>F28/-F42*365</f>
        <v/>
      </c>
      <c r="G56" s="17">
        <f>G28/-G42*365</f>
        <v/>
      </c>
      <c r="H56" s="17">
        <f>H28/-H42*365</f>
        <v/>
      </c>
      <c r="I56" s="17">
        <f>I28/-I42*365</f>
        <v/>
      </c>
      <c r="J56" s="17">
        <f>J28/-J42*365</f>
        <v/>
      </c>
      <c r="K56" s="17">
        <f>K28/-K42*365</f>
        <v/>
      </c>
    </row>
    <row r="57">
      <c r="B57" s="6" t="inlineStr">
        <is>
          <t>Prazo médio de pagamento (dias)</t>
        </is>
      </c>
      <c r="C57" s="17">
        <f>C34/-C42*365</f>
        <v/>
      </c>
      <c r="D57" s="17">
        <f>D34/-D42*365</f>
        <v/>
      </c>
      <c r="E57" s="17">
        <f>E34/-E42*365</f>
        <v/>
      </c>
      <c r="F57" s="17">
        <f>F34/-F42*365</f>
        <v/>
      </c>
      <c r="G57" s="17">
        <f>G34/-G42*365</f>
        <v/>
      </c>
      <c r="H57" s="17">
        <f>H34/-H42*365</f>
        <v/>
      </c>
      <c r="I57" s="17">
        <f>I34/-I42*365</f>
        <v/>
      </c>
      <c r="J57" s="17">
        <f>J34/-J42*365</f>
        <v/>
      </c>
      <c r="K57" s="17">
        <f>K34/-K42*365</f>
        <v/>
      </c>
    </row>
    <row r="58">
      <c r="B58" s="6" t="inlineStr">
        <is>
          <t>Ciclo de caixa (dias)</t>
        </is>
      </c>
      <c r="C58" s="17">
        <f>C55+C56-C57</f>
        <v/>
      </c>
      <c r="D58" s="17">
        <f>D55+D56-D57</f>
        <v/>
      </c>
      <c r="E58" s="17">
        <f>E55+E56-E57</f>
        <v/>
      </c>
      <c r="F58" s="17">
        <f>F55+F56-F57</f>
        <v/>
      </c>
      <c r="G58" s="17">
        <f>G55+G56-G57</f>
        <v/>
      </c>
      <c r="H58" s="17">
        <f>H55+H56-H57</f>
        <v/>
      </c>
      <c r="I58" s="17">
        <f>I55+I56-I57</f>
        <v/>
      </c>
      <c r="J58" s="17">
        <f>J55+J56-J57</f>
        <v/>
      </c>
      <c r="K58" s="17">
        <f>K55+K56-K57</f>
        <v/>
      </c>
    </row>
    <row r="59">
      <c r="B59" s="6" t="inlineStr">
        <is>
          <t>Capital de giro (receber + estoques - fornecedores)</t>
        </is>
      </c>
      <c r="C59" s="12">
        <f>C27+C28-C34</f>
        <v/>
      </c>
      <c r="D59" s="12">
        <f>D27+D28-D34</f>
        <v/>
      </c>
      <c r="E59" s="12">
        <f>E27+E28-E34</f>
        <v/>
      </c>
      <c r="F59" s="12">
        <f>F27+F28-F34</f>
        <v/>
      </c>
      <c r="G59" s="12">
        <f>G27+G28-G34</f>
        <v/>
      </c>
      <c r="H59" s="12">
        <f>H27+H28-H34</f>
        <v/>
      </c>
      <c r="I59" s="12">
        <f>I27+I28-I34</f>
        <v/>
      </c>
      <c r="J59" s="12">
        <f>J27+J28-J34</f>
        <v/>
      </c>
      <c r="K59" s="12">
        <f>K27+K28-K34</f>
        <v/>
      </c>
    </row>
    <row r="60">
      <c r="B60" s="6" t="inlineStr">
        <is>
          <t>Caixa e aplicações</t>
        </is>
      </c>
      <c r="C60" s="12">
        <f>C25+C26</f>
        <v/>
      </c>
      <c r="D60" s="12">
        <f>D25+D26</f>
        <v/>
      </c>
      <c r="E60" s="12">
        <f>E25+E26</f>
        <v/>
      </c>
      <c r="F60" s="12">
        <f>F25+F26</f>
        <v/>
      </c>
      <c r="G60" s="12">
        <f>G25+G26</f>
        <v/>
      </c>
      <c r="H60" s="12">
        <f>H25+H26</f>
        <v/>
      </c>
      <c r="I60" s="12">
        <f>I25+I26</f>
        <v/>
      </c>
      <c r="J60" s="12">
        <f>J25+J26</f>
        <v/>
      </c>
      <c r="K60" s="12">
        <f>K25+K26</f>
        <v/>
      </c>
    </row>
    <row r="61">
      <c r="B61" s="6" t="inlineStr">
        <is>
          <t>Dívida bruta</t>
        </is>
      </c>
      <c r="C61" s="12">
        <f>C35+C37</f>
        <v/>
      </c>
      <c r="D61" s="12">
        <f>D35+D37</f>
        <v/>
      </c>
      <c r="E61" s="12">
        <f>E35+E37</f>
        <v/>
      </c>
      <c r="F61" s="12">
        <f>F35+F37</f>
        <v/>
      </c>
      <c r="G61" s="12">
        <f>G35+G37</f>
        <v/>
      </c>
      <c r="H61" s="12">
        <f>H35+H37</f>
        <v/>
      </c>
      <c r="I61" s="12">
        <f>I35+I37</f>
        <v/>
      </c>
      <c r="J61" s="12">
        <f>J35+J37</f>
        <v/>
      </c>
      <c r="K61" s="12">
        <f>K35+K37</f>
        <v/>
      </c>
    </row>
    <row r="62">
      <c r="B62" s="6" t="inlineStr">
        <is>
          <t>Dívida líquida</t>
        </is>
      </c>
      <c r="C62" s="12">
        <f>C61-C60</f>
        <v/>
      </c>
      <c r="D62" s="12">
        <f>D61-D60</f>
        <v/>
      </c>
      <c r="E62" s="12">
        <f>E61-E60</f>
        <v/>
      </c>
      <c r="F62" s="12">
        <f>F61-F60</f>
        <v/>
      </c>
      <c r="G62" s="12">
        <f>G61-G60</f>
        <v/>
      </c>
      <c r="H62" s="12">
        <f>H61-H60</f>
        <v/>
      </c>
      <c r="I62" s="12">
        <f>I61-I60</f>
        <v/>
      </c>
      <c r="J62" s="12">
        <f>J61-J60</f>
        <v/>
      </c>
      <c r="K62" s="12">
        <f>K61-K60</f>
        <v/>
      </c>
    </row>
    <row r="63">
      <c r="B63" s="6" t="inlineStr">
        <is>
          <t>Dívida líquida / EBITDA</t>
        </is>
      </c>
      <c r="C63" s="26">
        <f>C62/C41</f>
        <v/>
      </c>
      <c r="D63" s="26">
        <f>D62/D41</f>
        <v/>
      </c>
      <c r="E63" s="26">
        <f>E62/E41</f>
        <v/>
      </c>
      <c r="F63" s="26">
        <f>F62/F41</f>
        <v/>
      </c>
      <c r="G63" s="26">
        <f>G62/G41</f>
        <v/>
      </c>
      <c r="H63" s="26">
        <f>H62/H41</f>
        <v/>
      </c>
      <c r="I63" s="26">
        <f>I62/I41</f>
        <v/>
      </c>
      <c r="J63" s="26">
        <f>J62/J41</f>
        <v/>
      </c>
      <c r="K63" s="26">
        <f>K62/K41</f>
        <v/>
      </c>
    </row>
    <row r="64">
      <c r="B64" s="6" t="inlineStr">
        <is>
          <t>Liquidez corrente</t>
        </is>
      </c>
      <c r="C64" s="27">
        <f>C29/C36</f>
        <v/>
      </c>
      <c r="D64" s="27">
        <f>D29/D36</f>
        <v/>
      </c>
      <c r="E64" s="27">
        <f>E29/E36</f>
        <v/>
      </c>
      <c r="F64" s="27">
        <f>F29/F36</f>
        <v/>
      </c>
      <c r="G64" s="27">
        <f>G29/G36</f>
        <v/>
      </c>
      <c r="H64" s="27">
        <f>H29/H36</f>
        <v/>
      </c>
      <c r="I64" s="27">
        <f>I29/I36</f>
        <v/>
      </c>
      <c r="J64" s="27">
        <f>J29/J36</f>
        <v/>
      </c>
      <c r="K64" s="27">
        <f>K29/K36</f>
        <v/>
      </c>
    </row>
    <row r="65">
      <c r="B65" s="6" t="inlineStr">
        <is>
          <t>ROE (lucro dos controladores / patrimônio dos controladores)</t>
        </is>
      </c>
      <c r="C65" s="11">
        <f>C18/(C38-C39)</f>
        <v/>
      </c>
      <c r="D65" s="11">
        <f>D18/(D38-D39)</f>
        <v/>
      </c>
      <c r="E65" s="11">
        <f>E18/(E38-E39)</f>
        <v/>
      </c>
      <c r="F65" s="11">
        <f>F18/(F38-F39)</f>
        <v/>
      </c>
      <c r="G65" s="11">
        <f>G18/(G38-G39)</f>
        <v/>
      </c>
      <c r="H65" s="11">
        <f>H18/(H38-H39)</f>
        <v/>
      </c>
      <c r="I65" s="11">
        <f>I18/(I38-I39)</f>
        <v/>
      </c>
      <c r="J65" s="11">
        <f>J18/(J38-J39)</f>
        <v/>
      </c>
      <c r="K65" s="11">
        <f>K18/(K38-K39)</f>
        <v/>
      </c>
    </row>
    <row r="66">
      <c r="B66" s="6" t="inlineStr">
        <is>
          <t>ROIC (NOPAT / capital de giro + ativo fixo)</t>
        </is>
      </c>
      <c r="C66" s="11">
        <f>C44/(C59+C52)</f>
        <v/>
      </c>
      <c r="D66" s="11">
        <f>D44/(D59+D52)</f>
        <v/>
      </c>
      <c r="E66" s="11">
        <f>E44/(E59+E52)</f>
        <v/>
      </c>
      <c r="F66" s="11">
        <f>F44/(F59+F52)</f>
        <v/>
      </c>
      <c r="G66" s="11">
        <f>G44/(G59+G52)</f>
        <v/>
      </c>
      <c r="H66" s="11">
        <f>H44/(H59+H52)</f>
        <v/>
      </c>
      <c r="I66" s="11">
        <f>I44/(I59+I52)</f>
        <v/>
      </c>
      <c r="J66" s="11">
        <f>J44/(J59+J52)</f>
        <v/>
      </c>
      <c r="K66" s="11">
        <f>K44/(K59+K52)</f>
        <v/>
      </c>
    </row>
    <row r="67">
      <c r="B67" s="6" t="inlineStr">
        <is>
          <t>Caixa operacional menos capex</t>
        </is>
      </c>
      <c r="C67" s="12">
        <f>C21-C22</f>
        <v/>
      </c>
      <c r="D67" s="12">
        <f>D21-D22</f>
        <v/>
      </c>
      <c r="E67" s="12">
        <f>E21-E22</f>
        <v/>
      </c>
      <c r="F67" s="12">
        <f>F21-F22</f>
        <v/>
      </c>
      <c r="G67" s="12">
        <f>G21-G22</f>
        <v/>
      </c>
      <c r="H67" s="12">
        <f>H21-H22</f>
        <v/>
      </c>
      <c r="I67" s="12">
        <f>I21-I22</f>
        <v/>
      </c>
      <c r="J67" s="12">
        <f>J21-J22</f>
        <v/>
      </c>
      <c r="K67" s="12">
        <f>K21-K22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" customWidth="1" min="9" max="9"/>
  </cols>
  <sheetData>
    <row r="1">
      <c r="B1" s="1" t="inlineStr">
        <is>
          <t>Projeção - CSN</t>
        </is>
      </c>
    </row>
    <row r="2">
      <c r="B2" s="2" t="inlineStr">
        <is>
          <t>DRE, balanço e fluxo de caixa ligados. Custos e despesas em valor positivo. 2025 é o realizado; os demais anos são fórmulas sobre as premissas.</t>
        </is>
      </c>
    </row>
    <row r="4">
      <c r="B4" s="4" t="inlineStr">
        <is>
          <t>R$ milhões</t>
        </is>
      </c>
      <c r="C4" s="5" t="n">
        <v>2025</v>
      </c>
      <c r="D4" s="5" t="inlineStr">
        <is>
          <t>2026E</t>
        </is>
      </c>
      <c r="E4" s="5" t="inlineStr">
        <is>
          <t>2027E</t>
        </is>
      </c>
      <c r="F4" s="5" t="inlineStr">
        <is>
          <t>2028E</t>
        </is>
      </c>
      <c r="G4" s="5" t="inlineStr">
        <is>
          <t>2029E</t>
        </is>
      </c>
      <c r="H4" s="5" t="inlineStr">
        <is>
          <t>2030E</t>
        </is>
      </c>
    </row>
    <row r="5">
      <c r="B5" s="24" t="inlineStr">
        <is>
          <t>Demonstração do resultado</t>
        </is>
      </c>
      <c r="C5" s="25" t="n"/>
      <c r="D5" s="25" t="n"/>
      <c r="E5" s="25" t="n"/>
      <c r="F5" s="25" t="n"/>
      <c r="G5" s="25" t="n"/>
      <c r="H5" s="25" t="n"/>
    </row>
    <row r="6">
      <c r="B6" s="8" t="inlineStr">
        <is>
          <t>Receita líquida</t>
        </is>
      </c>
      <c r="C6" s="28">
        <f>'Histórico'!J6</f>
        <v/>
      </c>
      <c r="D6" s="28">
        <f>C6*(1+'Premissas'!D29)*(1+'Premissas'!D30)</f>
        <v/>
      </c>
      <c r="E6" s="28">
        <f>D6*(1+'Premissas'!E29)*(1+'Premissas'!E30)</f>
        <v/>
      </c>
      <c r="F6" s="28">
        <f>E6*(1+'Premissas'!F29)*(1+'Premissas'!F30)</f>
        <v/>
      </c>
      <c r="G6" s="28">
        <f>F6*(1+'Premissas'!G29)*(1+'Premissas'!G30)</f>
        <v/>
      </c>
      <c r="H6" s="28">
        <f>G6*(1+'Premissas'!H29)*(1+'Premissas'!H30)</f>
        <v/>
      </c>
    </row>
    <row r="7">
      <c r="B7" s="6" t="inlineStr">
        <is>
          <t>(-) Custo caixa (sem depreciação)</t>
        </is>
      </c>
      <c r="C7" s="12">
        <f>-'Histórico'!J42</f>
        <v/>
      </c>
      <c r="D7" s="12">
        <f>C7*(1+'Premissas'!D29)*(1+'Premissas'!D31)</f>
        <v/>
      </c>
      <c r="E7" s="12">
        <f>D7*(1+'Premissas'!E29)*(1+'Premissas'!E31)</f>
        <v/>
      </c>
      <c r="F7" s="12">
        <f>E7*(1+'Premissas'!F29)*(1+'Premissas'!F31)</f>
        <v/>
      </c>
      <c r="G7" s="12">
        <f>F7*(1+'Premissas'!G29)*(1+'Premissas'!G31)</f>
        <v/>
      </c>
      <c r="H7" s="12">
        <f>G7*(1+'Premissas'!H29)*(1+'Premissas'!H31)</f>
        <v/>
      </c>
    </row>
    <row r="8">
      <c r="B8" s="6" t="inlineStr">
        <is>
          <t>(-) Despesas com vendas</t>
        </is>
      </c>
      <c r="C8" s="12">
        <f>-'Histórico'!J9</f>
        <v/>
      </c>
      <c r="D8" s="12">
        <f>C8*(1+'Premissas'!D29)*(1+'Premissas'!D31)</f>
        <v/>
      </c>
      <c r="E8" s="12">
        <f>D8*(1+'Premissas'!E29)*(1+'Premissas'!E31)</f>
        <v/>
      </c>
      <c r="F8" s="12">
        <f>E8*(1+'Premissas'!F29)*(1+'Premissas'!F31)</f>
        <v/>
      </c>
      <c r="G8" s="12">
        <f>F8*(1+'Premissas'!G29)*(1+'Premissas'!G31)</f>
        <v/>
      </c>
      <c r="H8" s="12">
        <f>G8*(1+'Premissas'!H29)*(1+'Premissas'!H31)</f>
        <v/>
      </c>
    </row>
    <row r="9">
      <c r="B9" s="6" t="inlineStr">
        <is>
          <t>(-) Despesas gerais e administrativas</t>
        </is>
      </c>
      <c r="C9" s="12">
        <f>-'Histórico'!J10</f>
        <v/>
      </c>
      <c r="D9" s="12">
        <f>C9*(1+'Premissas'!D31)</f>
        <v/>
      </c>
      <c r="E9" s="12">
        <f>D9*(1+'Premissas'!E31)</f>
        <v/>
      </c>
      <c r="F9" s="12">
        <f>E9*(1+'Premissas'!F31)</f>
        <v/>
      </c>
      <c r="G9" s="12">
        <f>F9*(1+'Premissas'!G31)</f>
        <v/>
      </c>
      <c r="H9" s="12">
        <f>G9*(1+'Premissas'!H31)</f>
        <v/>
      </c>
    </row>
    <row r="10">
      <c r="B10" s="6" t="inlineStr">
        <is>
          <t>(+/-) Outras receitas/despesas operacionais</t>
        </is>
      </c>
      <c r="C10" s="12">
        <f>'Histórico'!J43</f>
        <v/>
      </c>
      <c r="D10" s="12">
        <f>D6*'Premissas'!D32</f>
        <v/>
      </c>
      <c r="E10" s="12">
        <f>E6*'Premissas'!E32</f>
        <v/>
      </c>
      <c r="F10" s="12">
        <f>F6*'Premissas'!F32</f>
        <v/>
      </c>
      <c r="G10" s="12">
        <f>G6*'Premissas'!G32</f>
        <v/>
      </c>
      <c r="H10" s="12">
        <f>H6*'Premissas'!H32</f>
        <v/>
      </c>
    </row>
    <row r="11">
      <c r="B11" s="6" t="inlineStr">
        <is>
          <t>(+/-) Equivalência patrimonial</t>
        </is>
      </c>
      <c r="C11" s="12">
        <f>'Histórico'!J12</f>
        <v/>
      </c>
      <c r="D11" s="12">
        <f>'Premissas'!D33</f>
        <v/>
      </c>
      <c r="E11" s="12">
        <f>'Premissas'!E33</f>
        <v/>
      </c>
      <c r="F11" s="12">
        <f>'Premissas'!F33</f>
        <v/>
      </c>
      <c r="G11" s="12">
        <f>'Premissas'!G33</f>
        <v/>
      </c>
      <c r="H11" s="12">
        <f>'Premissas'!H33</f>
        <v/>
      </c>
    </row>
    <row r="12">
      <c r="B12" s="8" t="inlineStr">
        <is>
          <t>EBITDA</t>
        </is>
      </c>
      <c r="C12" s="28">
        <f>C6-C7-C8-C9+C10+C11</f>
        <v/>
      </c>
      <c r="D12" s="28">
        <f>D6-D7-D8-D9+D10+D11</f>
        <v/>
      </c>
      <c r="E12" s="28">
        <f>E6-E7-E8-E9+E10+E11</f>
        <v/>
      </c>
      <c r="F12" s="28">
        <f>F6-F7-F8-F9+F10+F11</f>
        <v/>
      </c>
      <c r="G12" s="28">
        <f>G6-G7-G8-G9+G10+G11</f>
        <v/>
      </c>
      <c r="H12" s="28">
        <f>H6-H7-H8-H9+H10+H11</f>
        <v/>
      </c>
    </row>
    <row r="13">
      <c r="B13" s="6" t="inlineStr">
        <is>
          <t>(-) Depreciação e amortização</t>
        </is>
      </c>
      <c r="C13" s="12">
        <f>'Histórico'!J20</f>
        <v/>
      </c>
      <c r="D13" s="12">
        <f>C23*'Premissas'!D35</f>
        <v/>
      </c>
      <c r="E13" s="12">
        <f>D23*'Premissas'!E35</f>
        <v/>
      </c>
      <c r="F13" s="12">
        <f>E23*'Premissas'!F35</f>
        <v/>
      </c>
      <c r="G13" s="12">
        <f>F23*'Premissas'!G35</f>
        <v/>
      </c>
      <c r="H13" s="12">
        <f>G23*'Premissas'!H35</f>
        <v/>
      </c>
    </row>
    <row r="14">
      <c r="B14" s="8" t="inlineStr">
        <is>
          <t>EBIT</t>
        </is>
      </c>
      <c r="C14" s="28">
        <f>C12-C13</f>
        <v/>
      </c>
      <c r="D14" s="28">
        <f>D12-D13</f>
        <v/>
      </c>
      <c r="E14" s="28">
        <f>E12-E13</f>
        <v/>
      </c>
      <c r="F14" s="28">
        <f>F12-F13</f>
        <v/>
      </c>
      <c r="G14" s="28">
        <f>G12-G13</f>
        <v/>
      </c>
      <c r="H14" s="28">
        <f>H12-H13</f>
        <v/>
      </c>
    </row>
    <row r="15">
      <c r="B15" s="6" t="inlineStr">
        <is>
          <t>(+/-) Resultado financeiro</t>
        </is>
      </c>
      <c r="C15" s="12">
        <f>'Histórico'!J14</f>
        <v/>
      </c>
      <c r="D15" s="12">
        <f>C38*'Premissas'!$D$44-C42*'Premissas'!$D$43</f>
        <v/>
      </c>
      <c r="E15" s="12">
        <f>D38*'Premissas'!$D$44-D42*'Premissas'!$D$43</f>
        <v/>
      </c>
      <c r="F15" s="12">
        <f>E38*'Premissas'!$D$44-E42*'Premissas'!$D$43</f>
        <v/>
      </c>
      <c r="G15" s="12">
        <f>F38*'Premissas'!$D$44-F42*'Premissas'!$D$43</f>
        <v/>
      </c>
      <c r="H15" s="12">
        <f>G38*'Premissas'!$D$44-G42*'Premissas'!$D$43</f>
        <v/>
      </c>
    </row>
    <row r="16">
      <c r="B16" s="6" t="inlineStr">
        <is>
          <t>Lucro antes dos tributos</t>
        </is>
      </c>
      <c r="C16" s="12">
        <f>C14+C15</f>
        <v/>
      </c>
      <c r="D16" s="12">
        <f>D14+D15</f>
        <v/>
      </c>
      <c r="E16" s="12">
        <f>E14+E15</f>
        <v/>
      </c>
      <c r="F16" s="12">
        <f>F14+F15</f>
        <v/>
      </c>
      <c r="G16" s="12">
        <f>G14+G15</f>
        <v/>
      </c>
      <c r="H16" s="12">
        <f>H14+H15</f>
        <v/>
      </c>
    </row>
    <row r="17">
      <c r="B17" s="6" t="inlineStr">
        <is>
          <t>(-) Imposto de renda e CSLL</t>
        </is>
      </c>
      <c r="C17" s="12">
        <f>-'Histórico'!J16</f>
        <v/>
      </c>
      <c r="D17" s="12">
        <f>MAX(0,D16-D11)*'Premissas'!$D$42</f>
        <v/>
      </c>
      <c r="E17" s="12">
        <f>MAX(0,E16-E11)*'Premissas'!$D$42</f>
        <v/>
      </c>
      <c r="F17" s="12">
        <f>MAX(0,F16-F11)*'Premissas'!$D$42</f>
        <v/>
      </c>
      <c r="G17" s="12">
        <f>MAX(0,G16-G11)*'Premissas'!$D$42</f>
        <v/>
      </c>
      <c r="H17" s="12">
        <f>MAX(0,H16-H11)*'Premissas'!$D$42</f>
        <v/>
      </c>
    </row>
    <row r="18">
      <c r="B18" s="8" t="inlineStr">
        <is>
          <t>Lucro líquido</t>
        </is>
      </c>
      <c r="C18" s="28">
        <f>C16-C17</f>
        <v/>
      </c>
      <c r="D18" s="28">
        <f>D16-D17</f>
        <v/>
      </c>
      <c r="E18" s="28">
        <f>E16-E17</f>
        <v/>
      </c>
      <c r="F18" s="28">
        <f>F16-F17</f>
        <v/>
      </c>
      <c r="G18" s="28">
        <f>G16-G17</f>
        <v/>
      </c>
      <c r="H18" s="28">
        <f>H16-H17</f>
        <v/>
      </c>
    </row>
    <row r="19">
      <c r="B19" s="6" t="inlineStr">
        <is>
          <t>NOPAT (EBIT sem equivalência, após imposto)</t>
        </is>
      </c>
      <c r="C19" s="12">
        <f>(C14-C11)*(1-'Premissas'!$D$42)</f>
        <v/>
      </c>
      <c r="D19" s="12">
        <f>(D14-D11)*(1-'Premissas'!$D$42)</f>
        <v/>
      </c>
      <c r="E19" s="12">
        <f>(E14-E11)*(1-'Premissas'!$D$42)</f>
        <v/>
      </c>
      <c r="F19" s="12">
        <f>(F14-F11)*(1-'Premissas'!$D$42)</f>
        <v/>
      </c>
      <c r="G19" s="12">
        <f>(G14-G11)*(1-'Premissas'!$D$42)</f>
        <v/>
      </c>
      <c r="H19" s="12">
        <f>(H14-H11)*(1-'Premissas'!$D$42)</f>
        <v/>
      </c>
    </row>
    <row r="21">
      <c r="B21" s="24" t="inlineStr">
        <is>
          <t>Investimento, depreciação e capital de giro</t>
        </is>
      </c>
      <c r="C21" s="25" t="n"/>
      <c r="D21" s="25" t="n"/>
      <c r="E21" s="25" t="n"/>
      <c r="F21" s="25" t="n"/>
      <c r="G21" s="25" t="n"/>
      <c r="H21" s="25" t="n"/>
    </row>
    <row r="22">
      <c r="B22" s="6" t="inlineStr">
        <is>
          <t>Capex</t>
        </is>
      </c>
      <c r="C22" s="12">
        <f>'Histórico'!J22</f>
        <v/>
      </c>
      <c r="D22" s="12">
        <f>D6*'Premissas'!D34</f>
        <v/>
      </c>
      <c r="E22" s="12">
        <f>E6*'Premissas'!E34</f>
        <v/>
      </c>
      <c r="F22" s="12">
        <f>F6*'Premissas'!F34</f>
        <v/>
      </c>
      <c r="G22" s="12">
        <f>G6*'Premissas'!G34</f>
        <v/>
      </c>
      <c r="H22" s="12">
        <f>H6*'Premissas'!H34</f>
        <v/>
      </c>
    </row>
    <row r="23">
      <c r="B23" s="6" t="inlineStr">
        <is>
          <t>Ativo fixo (imobilizado + intangível)</t>
        </is>
      </c>
      <c r="C23" s="12">
        <f>'Histórico'!J52</f>
        <v/>
      </c>
      <c r="D23" s="12">
        <f>C23+D22-D13</f>
        <v/>
      </c>
      <c r="E23" s="12">
        <f>D23+E22-E13</f>
        <v/>
      </c>
      <c r="F23" s="12">
        <f>E23+F22-F13</f>
        <v/>
      </c>
      <c r="G23" s="12">
        <f>F23+G22-G13</f>
        <v/>
      </c>
      <c r="H23" s="12">
        <f>G23+H22-H13</f>
        <v/>
      </c>
    </row>
    <row r="24">
      <c r="B24" s="6" t="inlineStr">
        <is>
          <t>Contas a receber</t>
        </is>
      </c>
      <c r="C24" s="12">
        <f>'Histórico'!J27</f>
        <v/>
      </c>
      <c r="D24" s="12">
        <f>D6*'Premissas'!D36/365</f>
        <v/>
      </c>
      <c r="E24" s="12">
        <f>E6*'Premissas'!E36/365</f>
        <v/>
      </c>
      <c r="F24" s="12">
        <f>F6*'Premissas'!F36/365</f>
        <v/>
      </c>
      <c r="G24" s="12">
        <f>G6*'Premissas'!G36/365</f>
        <v/>
      </c>
      <c r="H24" s="12">
        <f>H6*'Premissas'!H36/365</f>
        <v/>
      </c>
    </row>
    <row r="25">
      <c r="B25" s="6" t="inlineStr">
        <is>
          <t>Estoques</t>
        </is>
      </c>
      <c r="C25" s="12">
        <f>'Histórico'!J28</f>
        <v/>
      </c>
      <c r="D25" s="12">
        <f>D7*'Premissas'!D37/365</f>
        <v/>
      </c>
      <c r="E25" s="12">
        <f>E7*'Premissas'!E37/365</f>
        <v/>
      </c>
      <c r="F25" s="12">
        <f>F7*'Premissas'!F37/365</f>
        <v/>
      </c>
      <c r="G25" s="12">
        <f>G7*'Premissas'!G37/365</f>
        <v/>
      </c>
      <c r="H25" s="12">
        <f>H7*'Premissas'!H37/365</f>
        <v/>
      </c>
    </row>
    <row r="26">
      <c r="B26" s="6" t="inlineStr">
        <is>
          <t>Fornecedores</t>
        </is>
      </c>
      <c r="C26" s="12">
        <f>'Histórico'!J34</f>
        <v/>
      </c>
      <c r="D26" s="12">
        <f>D7*'Premissas'!D38/365</f>
        <v/>
      </c>
      <c r="E26" s="12">
        <f>E7*'Premissas'!E38/365</f>
        <v/>
      </c>
      <c r="F26" s="12">
        <f>F7*'Premissas'!F38/365</f>
        <v/>
      </c>
      <c r="G26" s="12">
        <f>G7*'Premissas'!G38/365</f>
        <v/>
      </c>
      <c r="H26" s="12">
        <f>H7*'Premissas'!H38/365</f>
        <v/>
      </c>
    </row>
    <row r="27">
      <c r="B27" s="8" t="inlineStr">
        <is>
          <t>Capital de giro</t>
        </is>
      </c>
      <c r="C27" s="28">
        <f>C24+C25-C26</f>
        <v/>
      </c>
      <c r="D27" s="28">
        <f>D24+D25-D26</f>
        <v/>
      </c>
      <c r="E27" s="28">
        <f>E24+E25-E26</f>
        <v/>
      </c>
      <c r="F27" s="28">
        <f>F24+F25-F26</f>
        <v/>
      </c>
      <c r="G27" s="28">
        <f>G24+G25-G26</f>
        <v/>
      </c>
      <c r="H27" s="28">
        <f>H24+H25-H26</f>
        <v/>
      </c>
    </row>
    <row r="28">
      <c r="B28" s="6" t="inlineStr">
        <is>
          <t>Variação do capital de giro (investimento em giro)</t>
        </is>
      </c>
      <c r="D28" s="12">
        <f>D27-C27</f>
        <v/>
      </c>
      <c r="E28" s="12">
        <f>E27-D27</f>
        <v/>
      </c>
      <c r="F28" s="12">
        <f>F27-E27</f>
        <v/>
      </c>
      <c r="G28" s="12">
        <f>G27-F27</f>
        <v/>
      </c>
      <c r="H28" s="12">
        <f>H27-G27</f>
        <v/>
      </c>
    </row>
    <row r="30">
      <c r="B30" s="24" t="inlineStr">
        <is>
          <t>Fluxos de caixa livres</t>
        </is>
      </c>
      <c r="C30" s="25" t="n"/>
      <c r="D30" s="25" t="n"/>
      <c r="E30" s="25" t="n"/>
      <c r="F30" s="25" t="n"/>
      <c r="G30" s="25" t="n"/>
      <c r="H30" s="25" t="n"/>
    </row>
    <row r="31">
      <c r="B31" s="8" t="inlineStr">
        <is>
          <t>FCFF - fluxo de caixa livre da empresa</t>
        </is>
      </c>
      <c r="D31" s="28">
        <f>D19+D13-D22-D28</f>
        <v/>
      </c>
      <c r="E31" s="28">
        <f>E19+E13-E22-E28</f>
        <v/>
      </c>
      <c r="F31" s="28">
        <f>F19+F13-F22-F28</f>
        <v/>
      </c>
      <c r="G31" s="28">
        <f>G19+G13-G22-G28</f>
        <v/>
      </c>
      <c r="H31" s="28">
        <f>H19+H13-H22-H28</f>
        <v/>
      </c>
    </row>
    <row r="32">
      <c r="B32" s="6" t="inlineStr">
        <is>
          <t>(+) Captação líquida de dívida</t>
        </is>
      </c>
      <c r="D32" s="12">
        <f>'Premissas'!D39</f>
        <v/>
      </c>
      <c r="E32" s="12">
        <f>'Premissas'!E39</f>
        <v/>
      </c>
      <c r="F32" s="12">
        <f>'Premissas'!F39</f>
        <v/>
      </c>
      <c r="G32" s="12">
        <f>'Premissas'!G39</f>
        <v/>
      </c>
      <c r="H32" s="12">
        <f>'Premissas'!H39</f>
        <v/>
      </c>
    </row>
    <row r="33">
      <c r="B33" s="8" t="inlineStr">
        <is>
          <t>FCFE - fluxo de caixa livre do acionista</t>
        </is>
      </c>
      <c r="D33" s="28">
        <f>D18-D11+D13-D22-D28+D32</f>
        <v/>
      </c>
      <c r="E33" s="28">
        <f>E18-E11+E13-E22-E28+E32</f>
        <v/>
      </c>
      <c r="F33" s="28">
        <f>F18-F11+F13-F22-F28+F32</f>
        <v/>
      </c>
      <c r="G33" s="28">
        <f>G18-G11+G13-G22-G28+G32</f>
        <v/>
      </c>
      <c r="H33" s="28">
        <f>H18-H11+H13-H22-H28+H32</f>
        <v/>
      </c>
    </row>
    <row r="34">
      <c r="B34" s="6" t="inlineStr">
        <is>
          <t>(-) Dividendos</t>
        </is>
      </c>
      <c r="D34" s="12">
        <f>MAX(0,D18)*'Premissas'!$D$45</f>
        <v/>
      </c>
      <c r="E34" s="12">
        <f>MAX(0,E18)*'Premissas'!$D$45</f>
        <v/>
      </c>
      <c r="F34" s="12">
        <f>MAX(0,F18)*'Premissas'!$D$45</f>
        <v/>
      </c>
      <c r="G34" s="12">
        <f>MAX(0,G18)*'Premissas'!$D$45</f>
        <v/>
      </c>
      <c r="H34" s="12">
        <f>MAX(0,H18)*'Premissas'!$D$45</f>
        <v/>
      </c>
    </row>
    <row r="35">
      <c r="B35" s="6" t="inlineStr">
        <is>
          <t>Variação do caixa</t>
        </is>
      </c>
      <c r="D35" s="12">
        <f>D33-D34</f>
        <v/>
      </c>
      <c r="E35" s="12">
        <f>E33-E34</f>
        <v/>
      </c>
      <c r="F35" s="12">
        <f>F33-F34</f>
        <v/>
      </c>
      <c r="G35" s="12">
        <f>G33-G34</f>
        <v/>
      </c>
      <c r="H35" s="12">
        <f>H33-H34</f>
        <v/>
      </c>
    </row>
    <row r="37">
      <c r="B37" s="24" t="inlineStr">
        <is>
          <t>Balanço patrimonial resumido</t>
        </is>
      </c>
      <c r="C37" s="25" t="n"/>
      <c r="D37" s="25" t="n"/>
      <c r="E37" s="25" t="n"/>
      <c r="F37" s="25" t="n"/>
      <c r="G37" s="25" t="n"/>
      <c r="H37" s="25" t="n"/>
    </row>
    <row r="38">
      <c r="B38" s="6" t="inlineStr">
        <is>
          <t>Caixa e aplicações</t>
        </is>
      </c>
      <c r="C38" s="12">
        <f>'Histórico'!J60</f>
        <v/>
      </c>
      <c r="D38" s="12">
        <f>C38+D35</f>
        <v/>
      </c>
      <c r="E38" s="12">
        <f>D38+E35</f>
        <v/>
      </c>
      <c r="F38" s="12">
        <f>E38+F35</f>
        <v/>
      </c>
      <c r="G38" s="12">
        <f>F38+G35</f>
        <v/>
      </c>
      <c r="H38" s="12">
        <f>G38+H35</f>
        <v/>
      </c>
    </row>
    <row r="39">
      <c r="B39" s="6" t="inlineStr">
        <is>
          <t>Investimentos em coligadas</t>
        </is>
      </c>
      <c r="C39" s="12">
        <f>'Histórico'!J30</f>
        <v/>
      </c>
      <c r="D39" s="12">
        <f>C39+D11</f>
        <v/>
      </c>
      <c r="E39" s="12">
        <f>D39+E11</f>
        <v/>
      </c>
      <c r="F39" s="12">
        <f>E39+F11</f>
        <v/>
      </c>
      <c r="G39" s="12">
        <f>F39+G11</f>
        <v/>
      </c>
      <c r="H39" s="12">
        <f>G39+H11</f>
        <v/>
      </c>
    </row>
    <row r="40">
      <c r="B40" s="6" t="inlineStr">
        <is>
          <t>Outros ativos (mantidos)</t>
        </is>
      </c>
      <c r="C40" s="12">
        <f>'Histórico'!J33-C38-C24-C25-C23-C39</f>
        <v/>
      </c>
      <c r="D40" s="12">
        <f>C40</f>
        <v/>
      </c>
      <c r="E40" s="12">
        <f>D40</f>
        <v/>
      </c>
      <c r="F40" s="12">
        <f>E40</f>
        <v/>
      </c>
      <c r="G40" s="12">
        <f>F40</f>
        <v/>
      </c>
      <c r="H40" s="12">
        <f>G40</f>
        <v/>
      </c>
    </row>
    <row r="41">
      <c r="B41" s="8" t="inlineStr">
        <is>
          <t>Ativo total</t>
        </is>
      </c>
      <c r="C41" s="28">
        <f>C38+C24+C25+C23+C39+C40</f>
        <v/>
      </c>
      <c r="D41" s="28">
        <f>D38+D24+D25+D23+D39+D40</f>
        <v/>
      </c>
      <c r="E41" s="28">
        <f>E38+E24+E25+E23+E39+E40</f>
        <v/>
      </c>
      <c r="F41" s="28">
        <f>F38+F24+F25+F23+F39+F40</f>
        <v/>
      </c>
      <c r="G41" s="28">
        <f>G38+G24+G25+G23+G39+G40</f>
        <v/>
      </c>
      <c r="H41" s="28">
        <f>H38+H24+H25+H23+H39+H40</f>
        <v/>
      </c>
    </row>
    <row r="42">
      <c r="B42" s="6" t="inlineStr">
        <is>
          <t>Dívida bruta</t>
        </is>
      </c>
      <c r="C42" s="12">
        <f>'Histórico'!J61</f>
        <v/>
      </c>
      <c r="D42" s="12">
        <f>C42+D32</f>
        <v/>
      </c>
      <c r="E42" s="12">
        <f>D42+E32</f>
        <v/>
      </c>
      <c r="F42" s="12">
        <f>E42+F32</f>
        <v/>
      </c>
      <c r="G42" s="12">
        <f>F42+G32</f>
        <v/>
      </c>
      <c r="H42" s="12">
        <f>G42+H32</f>
        <v/>
      </c>
    </row>
    <row r="43">
      <c r="B43" s="6" t="inlineStr">
        <is>
          <t>Outros passivos (mantidos)</t>
        </is>
      </c>
      <c r="C43" s="12">
        <f>'Histórico'!J33-C26-C42-C44</f>
        <v/>
      </c>
      <c r="D43" s="12">
        <f>C43</f>
        <v/>
      </c>
      <c r="E43" s="12">
        <f>D43</f>
        <v/>
      </c>
      <c r="F43" s="12">
        <f>E43</f>
        <v/>
      </c>
      <c r="G43" s="12">
        <f>F43</f>
        <v/>
      </c>
      <c r="H43" s="12">
        <f>G43</f>
        <v/>
      </c>
    </row>
    <row r="44">
      <c r="B44" s="6" t="inlineStr">
        <is>
          <t>Patrimônio líquido</t>
        </is>
      </c>
      <c r="C44" s="12">
        <f>'Histórico'!J38</f>
        <v/>
      </c>
      <c r="D44" s="12">
        <f>C44+D18-D34</f>
        <v/>
      </c>
      <c r="E44" s="12">
        <f>D44+E18-E34</f>
        <v/>
      </c>
      <c r="F44" s="12">
        <f>E44+F18-F34</f>
        <v/>
      </c>
      <c r="G44" s="12">
        <f>F44+G18-G34</f>
        <v/>
      </c>
      <c r="H44" s="12">
        <f>G44+H18-H34</f>
        <v/>
      </c>
    </row>
    <row r="45">
      <c r="B45" s="8" t="inlineStr">
        <is>
          <t>Passivo + patrimônio líquido</t>
        </is>
      </c>
      <c r="C45" s="28">
        <f>C26+C42+C43+C44</f>
        <v/>
      </c>
      <c r="D45" s="28">
        <f>D26+D42+D43+D44</f>
        <v/>
      </c>
      <c r="E45" s="28">
        <f>E26+E42+E43+E44</f>
        <v/>
      </c>
      <c r="F45" s="28">
        <f>F26+F42+F43+F44</f>
        <v/>
      </c>
      <c r="G45" s="28">
        <f>G26+G42+G43+G44</f>
        <v/>
      </c>
      <c r="H45" s="28">
        <f>H26+H42+H43+H44</f>
        <v/>
      </c>
    </row>
    <row r="46">
      <c r="B46" s="6" t="inlineStr">
        <is>
          <t>Checagem: ativo - passivo (tem de ser zero)</t>
        </is>
      </c>
      <c r="C46" s="12">
        <f>ROUND(C41-C45,3)</f>
        <v/>
      </c>
      <c r="D46" s="12">
        <f>ROUND(D41-D45,3)</f>
        <v/>
      </c>
      <c r="E46" s="12">
        <f>ROUND(E41-E45,3)</f>
        <v/>
      </c>
      <c r="F46" s="12">
        <f>ROUND(F41-F45,3)</f>
        <v/>
      </c>
      <c r="G46" s="12">
        <f>ROUND(G41-G45,3)</f>
        <v/>
      </c>
      <c r="H46" s="12">
        <f>ROUND(H41-H45,3)</f>
        <v/>
      </c>
    </row>
    <row r="48">
      <c r="B48" s="24" t="inlineStr">
        <is>
          <t>Indicadores</t>
        </is>
      </c>
      <c r="C48" s="25" t="n"/>
      <c r="D48" s="25" t="n"/>
      <c r="E48" s="25" t="n"/>
      <c r="F48" s="25" t="n"/>
      <c r="G48" s="25" t="n"/>
      <c r="H48" s="25" t="n"/>
    </row>
    <row r="49">
      <c r="B49" s="6" t="inlineStr">
        <is>
          <t>Crescimento da receita</t>
        </is>
      </c>
      <c r="D49" s="11">
        <f>D6/C6-1</f>
        <v/>
      </c>
      <c r="E49" s="11">
        <f>E6/D6-1</f>
        <v/>
      </c>
      <c r="F49" s="11">
        <f>F6/E6-1</f>
        <v/>
      </c>
      <c r="G49" s="11">
        <f>G6/F6-1</f>
        <v/>
      </c>
      <c r="H49" s="11">
        <f>H6/G6-1</f>
        <v/>
      </c>
    </row>
    <row r="50">
      <c r="B50" s="6" t="inlineStr">
        <is>
          <t>Margem EBITDA</t>
        </is>
      </c>
      <c r="C50" s="11">
        <f>C12/C6</f>
        <v/>
      </c>
      <c r="D50" s="11">
        <f>D12/D6</f>
        <v/>
      </c>
      <c r="E50" s="11">
        <f>E12/E6</f>
        <v/>
      </c>
      <c r="F50" s="11">
        <f>F12/F6</f>
        <v/>
      </c>
      <c r="G50" s="11">
        <f>G12/G6</f>
        <v/>
      </c>
      <c r="H50" s="11">
        <f>H12/H6</f>
        <v/>
      </c>
    </row>
    <row r="51">
      <c r="B51" s="6" t="inlineStr">
        <is>
          <t>Margem EBIT</t>
        </is>
      </c>
      <c r="C51" s="11">
        <f>C14/C6</f>
        <v/>
      </c>
      <c r="D51" s="11">
        <f>D14/D6</f>
        <v/>
      </c>
      <c r="E51" s="11">
        <f>E14/E6</f>
        <v/>
      </c>
      <c r="F51" s="11">
        <f>F14/F6</f>
        <v/>
      </c>
      <c r="G51" s="11">
        <f>G14/G6</f>
        <v/>
      </c>
      <c r="H51" s="11">
        <f>H14/H6</f>
        <v/>
      </c>
    </row>
    <row r="52">
      <c r="B52" s="6" t="inlineStr">
        <is>
          <t>Dívida líquida</t>
        </is>
      </c>
      <c r="C52" s="12">
        <f>C42-C38</f>
        <v/>
      </c>
      <c r="D52" s="12">
        <f>D42-D38</f>
        <v/>
      </c>
      <c r="E52" s="12">
        <f>E42-E38</f>
        <v/>
      </c>
      <c r="F52" s="12">
        <f>F42-F38</f>
        <v/>
      </c>
      <c r="G52" s="12">
        <f>G42-G38</f>
        <v/>
      </c>
      <c r="H52" s="12">
        <f>H42-H38</f>
        <v/>
      </c>
    </row>
    <row r="53">
      <c r="B53" s="6" t="inlineStr">
        <is>
          <t>Dívida líquida / EBITDA</t>
        </is>
      </c>
      <c r="C53" s="26">
        <f>C52/C12</f>
        <v/>
      </c>
      <c r="D53" s="26">
        <f>D52/D12</f>
        <v/>
      </c>
      <c r="E53" s="26">
        <f>E52/E12</f>
        <v/>
      </c>
      <c r="F53" s="26">
        <f>F52/F12</f>
        <v/>
      </c>
      <c r="G53" s="26">
        <f>G52/G12</f>
        <v/>
      </c>
      <c r="H53" s="26">
        <f>H52/H12</f>
        <v/>
      </c>
    </row>
    <row r="54">
      <c r="B54" s="6" t="inlineStr">
        <is>
          <t>ROIC (NOPAT / capital investido inicial)</t>
        </is>
      </c>
      <c r="D54" s="11">
        <f>D19/(C27+C23)</f>
        <v/>
      </c>
      <c r="E54" s="11">
        <f>E19/(D27+D23)</f>
        <v/>
      </c>
      <c r="F54" s="11">
        <f>F19/(E27+E23)</f>
        <v/>
      </c>
      <c r="G54" s="11">
        <f>G19/(F27+F23)</f>
        <v/>
      </c>
      <c r="H54" s="11">
        <f>H19/(G27+G23)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70" customWidth="1" min="5" max="5"/>
  </cols>
  <sheetData>
    <row r="1">
      <c r="B1" s="1" t="inlineStr">
        <is>
          <t>Custo de capital</t>
        </is>
      </c>
    </row>
    <row r="2">
      <c r="B2" s="2" t="inlineStr">
        <is>
          <t>CAPM para o capital próprio; WACC é a média com o custo da dívida depois do imposto.</t>
        </is>
      </c>
    </row>
    <row r="4">
      <c r="B4" s="4" t="inlineStr">
        <is>
          <t>Capital próprio (CAPM)</t>
        </is>
      </c>
      <c r="C4" s="5" t="n"/>
      <c r="D4" s="5" t="inlineStr">
        <is>
          <t>Valor</t>
        </is>
      </c>
      <c r="E4" s="5" t="inlineStr">
        <is>
          <t>Conta</t>
        </is>
      </c>
    </row>
    <row r="5">
      <c r="B5" s="6" t="inlineStr">
        <is>
          <t>Juro sem risco (Rf)</t>
        </is>
      </c>
      <c r="D5" s="11">
        <f>'Premissas'!$D$46</f>
        <v/>
      </c>
    </row>
    <row r="6">
      <c r="B6" s="6" t="inlineStr">
        <is>
          <t>Beta</t>
        </is>
      </c>
      <c r="D6" s="27">
        <f>'Premissas'!$D$47</f>
        <v/>
      </c>
    </row>
    <row r="7">
      <c r="B7" s="6" t="inlineStr">
        <is>
          <t>Prêmio de risco de mercado</t>
        </is>
      </c>
      <c r="D7" s="11">
        <f>'Premissas'!$D$48</f>
        <v/>
      </c>
    </row>
    <row r="8">
      <c r="B8" s="6" t="inlineStr">
        <is>
          <t>Prêmio adicional</t>
        </is>
      </c>
      <c r="D8" s="11">
        <f>'Premissas'!$D$49</f>
        <v/>
      </c>
    </row>
    <row r="9">
      <c r="B9" s="8" t="inlineStr">
        <is>
          <t>Custo do capital próprio (Ke)</t>
        </is>
      </c>
      <c r="D9" s="29">
        <f>D5+D6*D7+D8</f>
        <v/>
      </c>
      <c r="E9" s="2" t="inlineStr">
        <is>
          <t>Ke = Rf + beta x prêmio de mercado + prêmio adicional</t>
        </is>
      </c>
    </row>
    <row r="11">
      <c r="B11" s="4" t="inlineStr">
        <is>
          <t>Dívida</t>
        </is>
      </c>
      <c r="C11" s="5" t="n"/>
      <c r="D11" s="5" t="inlineStr">
        <is>
          <t>Valor</t>
        </is>
      </c>
      <c r="E11" s="5" t="inlineStr">
        <is>
          <t>Conta</t>
        </is>
      </c>
    </row>
    <row r="12">
      <c r="B12" s="6" t="inlineStr">
        <is>
          <t>Custo da dívida antes do imposto (Kd)</t>
        </is>
      </c>
      <c r="D12" s="11">
        <f>'Premissas'!$D$43</f>
        <v/>
      </c>
    </row>
    <row r="13">
      <c r="B13" s="6" t="inlineStr">
        <is>
          <t>Alíquota de IR e CSLL</t>
        </is>
      </c>
      <c r="D13" s="11">
        <f>'Premissas'!$D$42</f>
        <v/>
      </c>
    </row>
    <row r="14">
      <c r="B14" s="8" t="inlineStr">
        <is>
          <t>Custo da dívida após o imposto</t>
        </is>
      </c>
      <c r="D14" s="29">
        <f>D12*(1-D13)</f>
        <v/>
      </c>
      <c r="E14" s="2" t="inlineStr">
        <is>
          <t>Juro é dedutível: Kd x (1 - alíquota)</t>
        </is>
      </c>
    </row>
    <row r="16">
      <c r="B16" s="4" t="inlineStr">
        <is>
          <t>Média ponderada</t>
        </is>
      </c>
      <c r="C16" s="5" t="n"/>
      <c r="D16" s="5" t="inlineStr">
        <is>
          <t>Valor</t>
        </is>
      </c>
      <c r="E16" s="5" t="inlineStr">
        <is>
          <t>Conta</t>
        </is>
      </c>
    </row>
    <row r="17">
      <c r="B17" s="6" t="inlineStr">
        <is>
          <t>Peso da dívida</t>
        </is>
      </c>
      <c r="D17" s="11">
        <f>'Premissas'!$D$50</f>
        <v/>
      </c>
    </row>
    <row r="18">
      <c r="B18" s="6" t="inlineStr">
        <is>
          <t>Peso do capital próprio</t>
        </is>
      </c>
      <c r="D18" s="11">
        <f>1-D17</f>
        <v/>
      </c>
    </row>
    <row r="19">
      <c r="B19" s="8" t="inlineStr">
        <is>
          <t>WACC</t>
        </is>
      </c>
      <c r="D19" s="30">
        <f>D9*D18+D14*D17</f>
        <v/>
      </c>
      <c r="E19" s="2" t="inlineStr">
        <is>
          <t>WACC = Ke x peso do capital próprio + Kd após imposto x peso da dívida</t>
        </is>
      </c>
    </row>
    <row r="21">
      <c r="B21" s="4" t="inlineStr">
        <is>
          <t>Referência: estrutura a valor de mercado</t>
        </is>
      </c>
      <c r="C21" s="5" t="n"/>
      <c r="D21" s="5" t="inlineStr">
        <is>
          <t>Valor</t>
        </is>
      </c>
      <c r="E21" s="5" t="inlineStr">
        <is>
          <t>Conta</t>
        </is>
      </c>
    </row>
    <row r="22">
      <c r="B22" s="6" t="inlineStr">
        <is>
          <t>Valor de mercado (R$ milhões)</t>
        </is>
      </c>
      <c r="D22" s="12">
        <f>'Premissas'!$D$60</f>
        <v/>
      </c>
    </row>
    <row r="23">
      <c r="B23" s="6" t="inlineStr">
        <is>
          <t>Dívida bruta na data-base (R$ milhões)</t>
        </is>
      </c>
      <c r="D23" s="12">
        <f>'Histórico'!K61</f>
        <v/>
      </c>
    </row>
    <row r="24">
      <c r="B24" s="6" t="inlineStr">
        <is>
          <t>Peso da dívida a valor de mercado</t>
        </is>
      </c>
      <c r="D24" s="11">
        <f>D23/(D23+D22)</f>
        <v/>
      </c>
      <c r="E24" s="2" t="inlineStr">
        <is>
          <t>Compare com o peso usado acima.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70" customWidth="1" min="9" max="9"/>
  </cols>
  <sheetData>
    <row r="1">
      <c r="B1" s="1" t="inlineStr">
        <is>
          <t>Fluxo de caixa descontado - CSN</t>
        </is>
      </c>
    </row>
    <row r="2">
      <c r="B2" s="2" t="inlineStr">
        <is>
          <t>O valor da empresa é a soma dos fluxos de caixa futuros trazidos a valor de hoje.</t>
        </is>
      </c>
    </row>
    <row r="4">
      <c r="B4" s="4" t="inlineStr">
        <is>
          <t>R$ milhões</t>
        </is>
      </c>
      <c r="C4" s="5" t="n"/>
      <c r="D4" s="5" t="inlineStr">
        <is>
          <t>2026E</t>
        </is>
      </c>
      <c r="E4" s="5" t="inlineStr">
        <is>
          <t>2027E</t>
        </is>
      </c>
      <c r="F4" s="5" t="inlineStr">
        <is>
          <t>2028E</t>
        </is>
      </c>
      <c r="G4" s="5" t="inlineStr">
        <is>
          <t>2029E</t>
        </is>
      </c>
      <c r="H4" s="5" t="inlineStr">
        <is>
          <t>2030E</t>
        </is>
      </c>
    </row>
    <row r="5">
      <c r="B5" s="24" t="inlineStr">
        <is>
          <t>Fluxo da empresa (FCFF), descontado pelo WACC</t>
        </is>
      </c>
      <c r="C5" s="25" t="n"/>
      <c r="D5" s="25" t="n"/>
      <c r="E5" s="25" t="n"/>
      <c r="F5" s="25" t="n"/>
      <c r="G5" s="25" t="n"/>
      <c r="H5" s="25" t="n"/>
    </row>
    <row r="6">
      <c r="B6" s="8" t="inlineStr">
        <is>
          <t>FCFF</t>
        </is>
      </c>
      <c r="D6" s="28">
        <f>'Projeção'!D31</f>
        <v/>
      </c>
      <c r="E6" s="28">
        <f>'Projeção'!E31</f>
        <v/>
      </c>
      <c r="F6" s="28">
        <f>'Projeção'!F31</f>
        <v/>
      </c>
      <c r="G6" s="28">
        <f>'Projeção'!G31</f>
        <v/>
      </c>
      <c r="H6" s="28">
        <f>'Projeção'!H31</f>
        <v/>
      </c>
    </row>
    <row r="7">
      <c r="B7" s="6" t="inlineStr">
        <is>
          <t>Parte do ano que entra no valor</t>
        </is>
      </c>
      <c r="D7" s="31">
        <f>'Premissas'!$D$57</f>
        <v/>
      </c>
      <c r="E7" s="31" t="n">
        <v>1</v>
      </c>
      <c r="F7" s="31" t="n">
        <v>1</v>
      </c>
      <c r="G7" s="31" t="n">
        <v>1</v>
      </c>
      <c r="H7" s="31" t="n">
        <v>1</v>
      </c>
    </row>
    <row r="8">
      <c r="B8" s="6" t="inlineStr">
        <is>
          <t>Fim do período (anos desde a data-base)</t>
        </is>
      </c>
      <c r="D8" s="31">
        <f>D7</f>
        <v/>
      </c>
      <c r="E8" s="31">
        <f>D8+1</f>
        <v/>
      </c>
      <c r="F8" s="31">
        <f>E8+1</f>
        <v/>
      </c>
      <c r="G8" s="31">
        <f>F8+1</f>
        <v/>
      </c>
      <c r="H8" s="31">
        <f>G8+1</f>
        <v/>
      </c>
    </row>
    <row r="9">
      <c r="B9" s="6" t="inlineStr">
        <is>
          <t>Meio do período (quando o caixa entra, em média)</t>
        </is>
      </c>
      <c r="D9" s="31">
        <f>D8-D7/2</f>
        <v/>
      </c>
      <c r="E9" s="31">
        <f>E8-E7/2</f>
        <v/>
      </c>
      <c r="F9" s="31">
        <f>F8-F7/2</f>
        <v/>
      </c>
      <c r="G9" s="31">
        <f>G8-G7/2</f>
        <v/>
      </c>
      <c r="H9" s="31">
        <f>H8-H7/2</f>
        <v/>
      </c>
    </row>
    <row r="10">
      <c r="B10" s="6" t="inlineStr">
        <is>
          <t>Fator de desconto</t>
        </is>
      </c>
      <c r="D10" s="32">
        <f>1/(1+'WACC'!$D$19)^D9</f>
        <v/>
      </c>
      <c r="E10" s="32">
        <f>1/(1+'WACC'!$D$19)^E9</f>
        <v/>
      </c>
      <c r="F10" s="32">
        <f>1/(1+'WACC'!$D$19)^F9</f>
        <v/>
      </c>
      <c r="G10" s="32">
        <f>1/(1+'WACC'!$D$19)^G9</f>
        <v/>
      </c>
      <c r="H10" s="32">
        <f>1/(1+'WACC'!$D$19)^H9</f>
        <v/>
      </c>
    </row>
    <row r="11">
      <c r="B11" s="8" t="inlineStr">
        <is>
          <t>Valor presente do fluxo</t>
        </is>
      </c>
      <c r="D11" s="28">
        <f>D6*D7*D10</f>
        <v/>
      </c>
      <c r="E11" s="28">
        <f>E6*E7*E10</f>
        <v/>
      </c>
      <c r="F11" s="28">
        <f>F6*F7*F10</f>
        <v/>
      </c>
      <c r="G11" s="28">
        <f>G6*G7*G10</f>
        <v/>
      </c>
      <c r="H11" s="28">
        <f>H6*H7*H10</f>
        <v/>
      </c>
    </row>
    <row r="13">
      <c r="B13" s="24" t="inlineStr">
        <is>
          <t>Perpetuidade (Gordon)</t>
        </is>
      </c>
      <c r="C13" s="25" t="n"/>
      <c r="D13" s="25" t="n"/>
      <c r="E13" s="25" t="n"/>
      <c r="F13" s="25" t="n"/>
      <c r="G13" s="25" t="n"/>
      <c r="H13" s="25" t="n"/>
    </row>
    <row r="14">
      <c r="B14" s="6" t="inlineStr">
        <is>
          <t>WACC</t>
        </is>
      </c>
      <c r="D14" s="11">
        <f>'WACC'!$D$19</f>
        <v/>
      </c>
    </row>
    <row r="15">
      <c r="B15" s="6" t="inlineStr">
        <is>
          <t>Crescimento na perpetuidade (g)</t>
        </is>
      </c>
      <c r="D15" s="11">
        <f>'Premissas'!$D$51</f>
        <v/>
      </c>
    </row>
    <row r="16">
      <c r="B16" s="6" t="inlineStr">
        <is>
          <t>FCFF normalizado de 2030</t>
        </is>
      </c>
      <c r="D16" s="12">
        <f>'Projeção'!H19+'Projeção'!H13-'Premissas'!$D$52*'Projeção'!H13-'Projeção'!H28</f>
        <v/>
      </c>
      <c r="I16" s="2" t="inlineStr">
        <is>
          <t>NOPAT + depreciação - capex de reposição - investimento em giro</t>
        </is>
      </c>
    </row>
    <row r="17">
      <c r="B17" s="6" t="inlineStr">
        <is>
          <t>Valor terminal no fim do último ano</t>
        </is>
      </c>
      <c r="D17" s="12">
        <f>D16*(1+D15)/(D14-D15)</f>
        <v/>
      </c>
      <c r="I17" s="2" t="inlineStr">
        <is>
          <t>FCFF x (1 + g) / (WACC - g)</t>
        </is>
      </c>
    </row>
    <row r="18">
      <c r="B18" s="6" t="inlineStr">
        <is>
          <t>Valor presente do valor terminal</t>
        </is>
      </c>
      <c r="D18" s="12">
        <f>D17/(1+D14)^H8</f>
        <v/>
      </c>
    </row>
    <row r="20">
      <c r="B20" s="24" t="inlineStr">
        <is>
          <t>Do valor da empresa ao preço por ação</t>
        </is>
      </c>
      <c r="C20" s="25" t="n"/>
      <c r="D20" s="25" t="n"/>
      <c r="E20" s="25" t="n"/>
      <c r="F20" s="25" t="n"/>
      <c r="G20" s="25" t="n"/>
      <c r="H20" s="25" t="n"/>
    </row>
    <row r="21">
      <c r="B21" s="6" t="inlineStr">
        <is>
          <t>Valor presente dos fluxos projetados</t>
        </is>
      </c>
      <c r="D21" s="12">
        <f>SUM($D$11:$H$11)</f>
        <v/>
      </c>
    </row>
    <row r="22">
      <c r="B22" s="6" t="inlineStr">
        <is>
          <t>(+) Valor presente do valor terminal</t>
        </is>
      </c>
      <c r="D22" s="12">
        <f>D18</f>
        <v/>
      </c>
    </row>
    <row r="23">
      <c r="B23" s="8" t="inlineStr">
        <is>
          <t>Valor da empresa (Enterprise Value)</t>
        </is>
      </c>
      <c r="D23" s="28">
        <f>D21+D22</f>
        <v/>
      </c>
    </row>
    <row r="24">
      <c r="B24" s="6" t="inlineStr">
        <is>
          <t>(-) Dívida líquida na data-base</t>
        </is>
      </c>
      <c r="D24" s="12">
        <f>'Histórico'!K62</f>
        <v/>
      </c>
    </row>
    <row r="25">
      <c r="B25" s="6" t="inlineStr">
        <is>
          <t>(-) Participação de não controladores</t>
        </is>
      </c>
      <c r="D25" s="12">
        <f>'Histórico'!K39</f>
        <v/>
      </c>
    </row>
    <row r="26">
      <c r="B26" s="6" t="inlineStr">
        <is>
          <t>(+) Investimentos em coligadas (valor contábil)</t>
        </is>
      </c>
      <c r="D26" s="12">
        <f>'Histórico'!K30</f>
        <v/>
      </c>
      <c r="I26" s="2" t="inlineStr">
        <is>
          <t>O FCFF não inclui a equivalência; as coligadas entram pelo valor do balanço.</t>
        </is>
      </c>
    </row>
    <row r="27">
      <c r="B27" s="6" t="inlineStr">
        <is>
          <t>(-) Outros passivos tratados como dívida</t>
        </is>
      </c>
      <c r="D27" s="12">
        <f>'Premissas'!$D$53</f>
        <v/>
      </c>
    </row>
    <row r="28">
      <c r="B28" s="8" t="inlineStr">
        <is>
          <t>Valor do acionista (Equity Value)</t>
        </is>
      </c>
      <c r="D28" s="28">
        <f>D23-D24-D25+D26-D27</f>
        <v/>
      </c>
    </row>
    <row r="29">
      <c r="B29" s="6" t="inlineStr">
        <is>
          <t>Ações em circulação (milhões)</t>
        </is>
      </c>
      <c r="D29" s="33">
        <f>'Premissas'!$D$58</f>
        <v/>
      </c>
    </row>
    <row r="30">
      <c r="B30" s="8" t="inlineStr">
        <is>
          <t>Preço justo por ação</t>
        </is>
      </c>
      <c r="D30" s="9">
        <f>D28/D29</f>
        <v/>
      </c>
    </row>
    <row r="31">
      <c r="B31" s="6" t="inlineStr">
        <is>
          <t>Preço de mercado</t>
        </is>
      </c>
      <c r="D31" s="10">
        <f>'Premissas'!$D$59</f>
        <v/>
      </c>
    </row>
    <row r="32">
      <c r="B32" s="6" t="inlineStr">
        <is>
          <t>Diferença para o preço de mercado</t>
        </is>
      </c>
      <c r="D32" s="11">
        <f>D30/D31-1</f>
        <v/>
      </c>
    </row>
    <row r="33">
      <c r="B33" s="6" t="inlineStr">
        <is>
          <t>Peso do valor terminal no valor da empresa</t>
        </is>
      </c>
      <c r="D33" s="11">
        <f>D18/D23</f>
        <v/>
      </c>
    </row>
    <row r="34">
      <c r="B34" s="6" t="inlineStr">
        <is>
          <t>EV / EBITDA 2026E implícito</t>
        </is>
      </c>
      <c r="D34" s="26">
        <f>D23/'Projeção'!D12</f>
        <v/>
      </c>
    </row>
    <row r="36">
      <c r="B36" s="24" t="inlineStr">
        <is>
          <t>Conferência pelo fluxo do acionista (FCFE), descontado pelo Ke</t>
        </is>
      </c>
      <c r="C36" s="25" t="n"/>
      <c r="D36" s="25" t="n"/>
      <c r="E36" s="25" t="n"/>
      <c r="F36" s="25" t="n"/>
      <c r="G36" s="25" t="n"/>
      <c r="H36" s="25" t="n"/>
    </row>
    <row r="37">
      <c r="B37" s="8" t="inlineStr">
        <is>
          <t>FCFE</t>
        </is>
      </c>
      <c r="D37" s="28">
        <f>'Projeção'!D33</f>
        <v/>
      </c>
      <c r="E37" s="28">
        <f>'Projeção'!E33</f>
        <v/>
      </c>
      <c r="F37" s="28">
        <f>'Projeção'!F33</f>
        <v/>
      </c>
      <c r="G37" s="28">
        <f>'Projeção'!G33</f>
        <v/>
      </c>
      <c r="H37" s="28">
        <f>'Projeção'!H33</f>
        <v/>
      </c>
    </row>
    <row r="38">
      <c r="B38" s="6" t="inlineStr">
        <is>
          <t>Fator de desconto</t>
        </is>
      </c>
      <c r="D38" s="32">
        <f>1/(1+'WACC'!$D$9)^D9</f>
        <v/>
      </c>
      <c r="E38" s="32">
        <f>1/(1+'WACC'!$D$9)^E9</f>
        <v/>
      </c>
      <c r="F38" s="32">
        <f>1/(1+'WACC'!$D$9)^F9</f>
        <v/>
      </c>
      <c r="G38" s="32">
        <f>1/(1+'WACC'!$D$9)^G9</f>
        <v/>
      </c>
      <c r="H38" s="32">
        <f>1/(1+'WACC'!$D$9)^H9</f>
        <v/>
      </c>
    </row>
    <row r="39">
      <c r="B39" s="6" t="inlineStr">
        <is>
          <t>Valor presente do fluxo</t>
        </is>
      </c>
      <c r="D39" s="12">
        <f>D37*D7*D38</f>
        <v/>
      </c>
      <c r="E39" s="12">
        <f>E37*E7*E38</f>
        <v/>
      </c>
      <c r="F39" s="12">
        <f>F37*F7*F38</f>
        <v/>
      </c>
      <c r="G39" s="12">
        <f>G37*G7*G38</f>
        <v/>
      </c>
      <c r="H39" s="12">
        <f>H37*H7*H38</f>
        <v/>
      </c>
    </row>
    <row r="40">
      <c r="B40" s="6" t="inlineStr">
        <is>
          <t>Custo do capital próprio (Ke)</t>
        </is>
      </c>
      <c r="D40" s="11">
        <f>'WACC'!$D$9</f>
        <v/>
      </c>
    </row>
    <row r="41">
      <c r="B41" s="6" t="inlineStr">
        <is>
          <t>FCFE normalizado de 2030</t>
        </is>
      </c>
      <c r="D41" s="12">
        <f>'Projeção'!H18-'Projeção'!H11+'Projeção'!H13-'Premissas'!$D$52*'Projeção'!H13-'Projeção'!H28+'Projeção'!H32</f>
        <v/>
      </c>
    </row>
    <row r="42">
      <c r="B42" s="6" t="inlineStr">
        <is>
          <t>Valor presente do valor terminal</t>
        </is>
      </c>
      <c r="D42" s="12">
        <f>D41*(1+D15)/(D40-D15)/(1+D40)^H8</f>
        <v/>
      </c>
    </row>
    <row r="43">
      <c r="B43" s="8" t="inlineStr">
        <is>
          <t>Valor do acionista pelo FCFE</t>
        </is>
      </c>
      <c r="D43" s="28">
        <f>SUM($D$39:$H$39)+D42-D25+D26-D27</f>
        <v/>
      </c>
    </row>
    <row r="44">
      <c r="B44" s="6" t="inlineStr">
        <is>
          <t>Preço por ação pelo FCFE</t>
        </is>
      </c>
      <c r="D44" s="10">
        <f>D43/D29</f>
        <v/>
      </c>
    </row>
    <row r="46">
      <c r="B46" s="24" t="inlineStr">
        <is>
          <t>Sensibilidade do preço justo: WACC (linhas) x crescimento perpétuo (colunas)</t>
        </is>
      </c>
      <c r="C46" s="25" t="n"/>
      <c r="D46" s="25" t="n"/>
      <c r="E46" s="25" t="n"/>
      <c r="F46" s="25" t="n"/>
      <c r="G46" s="25" t="n"/>
      <c r="H46" s="25" t="n"/>
    </row>
    <row r="47">
      <c r="C47" s="34" t="inlineStr">
        <is>
          <t>WACC \ g</t>
        </is>
      </c>
      <c r="D47" s="35">
        <f>$D$15+-2*0.005</f>
        <v/>
      </c>
      <c r="E47" s="35">
        <f>$D$15+-1*0.005</f>
        <v/>
      </c>
      <c r="F47" s="35">
        <f>$D$15+0*0.005</f>
        <v/>
      </c>
      <c r="G47" s="35">
        <f>$D$15+1*0.005</f>
        <v/>
      </c>
      <c r="H47" s="35">
        <f>$D$15+2*0.005</f>
        <v/>
      </c>
    </row>
    <row r="48">
      <c r="C48" s="35">
        <f>$D$14+-2*0.01</f>
        <v/>
      </c>
      <c r="D48" s="10">
        <f>(SUMPRODUCT($D$6:$H$6*$D$7:$H$7/(1+$C48)^$D$9:$H$9)+$D$16*(1+D$47)/($C48-D$47)/(1+$C48)^$H$8-$D$24-$D$25+$D$26-$D$27)/$D$29</f>
        <v/>
      </c>
      <c r="E48" s="10">
        <f>(SUMPRODUCT($D$6:$H$6*$D$7:$H$7/(1+$C48)^$D$9:$H$9)+$D$16*(1+E$47)/($C48-E$47)/(1+$C48)^$H$8-$D$24-$D$25+$D$26-$D$27)/$D$29</f>
        <v/>
      </c>
      <c r="F48" s="10">
        <f>(SUMPRODUCT($D$6:$H$6*$D$7:$H$7/(1+$C48)^$D$9:$H$9)+$D$16*(1+F$47)/($C48-F$47)/(1+$C48)^$H$8-$D$24-$D$25+$D$26-$D$27)/$D$29</f>
        <v/>
      </c>
      <c r="G48" s="10">
        <f>(SUMPRODUCT($D$6:$H$6*$D$7:$H$7/(1+$C48)^$D$9:$H$9)+$D$16*(1+G$47)/($C48-G$47)/(1+$C48)^$H$8-$D$24-$D$25+$D$26-$D$27)/$D$29</f>
        <v/>
      </c>
      <c r="H48" s="10">
        <f>(SUMPRODUCT($D$6:$H$6*$D$7:$H$7/(1+$C48)^$D$9:$H$9)+$D$16*(1+H$47)/($C48-H$47)/(1+$C48)^$H$8-$D$24-$D$25+$D$26-$D$27)/$D$29</f>
        <v/>
      </c>
    </row>
    <row r="49">
      <c r="C49" s="35">
        <f>$D$14+-1*0.01</f>
        <v/>
      </c>
      <c r="D49" s="10">
        <f>(SUMPRODUCT($D$6:$H$6*$D$7:$H$7/(1+$C49)^$D$9:$H$9)+$D$16*(1+D$47)/($C49-D$47)/(1+$C49)^$H$8-$D$24-$D$25+$D$26-$D$27)/$D$29</f>
        <v/>
      </c>
      <c r="E49" s="10">
        <f>(SUMPRODUCT($D$6:$H$6*$D$7:$H$7/(1+$C49)^$D$9:$H$9)+$D$16*(1+E$47)/($C49-E$47)/(1+$C49)^$H$8-$D$24-$D$25+$D$26-$D$27)/$D$29</f>
        <v/>
      </c>
      <c r="F49" s="10">
        <f>(SUMPRODUCT($D$6:$H$6*$D$7:$H$7/(1+$C49)^$D$9:$H$9)+$D$16*(1+F$47)/($C49-F$47)/(1+$C49)^$H$8-$D$24-$D$25+$D$26-$D$27)/$D$29</f>
        <v/>
      </c>
      <c r="G49" s="10">
        <f>(SUMPRODUCT($D$6:$H$6*$D$7:$H$7/(1+$C49)^$D$9:$H$9)+$D$16*(1+G$47)/($C49-G$47)/(1+$C49)^$H$8-$D$24-$D$25+$D$26-$D$27)/$D$29</f>
        <v/>
      </c>
      <c r="H49" s="10">
        <f>(SUMPRODUCT($D$6:$H$6*$D$7:$H$7/(1+$C49)^$D$9:$H$9)+$D$16*(1+H$47)/($C49-H$47)/(1+$C49)^$H$8-$D$24-$D$25+$D$26-$D$27)/$D$29</f>
        <v/>
      </c>
    </row>
    <row r="50">
      <c r="C50" s="35">
        <f>$D$14+0*0.01</f>
        <v/>
      </c>
      <c r="D50" s="10">
        <f>(SUMPRODUCT($D$6:$H$6*$D$7:$H$7/(1+$C50)^$D$9:$H$9)+$D$16*(1+D$47)/($C50-D$47)/(1+$C50)^$H$8-$D$24-$D$25+$D$26-$D$27)/$D$29</f>
        <v/>
      </c>
      <c r="E50" s="10">
        <f>(SUMPRODUCT($D$6:$H$6*$D$7:$H$7/(1+$C50)^$D$9:$H$9)+$D$16*(1+E$47)/($C50-E$47)/(1+$C50)^$H$8-$D$24-$D$25+$D$26-$D$27)/$D$29</f>
        <v/>
      </c>
      <c r="F50" s="9">
        <f>(SUMPRODUCT($D$6:$H$6*$D$7:$H$7/(1+$C50)^$D$9:$H$9)+$D$16*(1+F$47)/($C50-F$47)/(1+$C50)^$H$8-$D$24-$D$25+$D$26-$D$27)/$D$29</f>
        <v/>
      </c>
      <c r="G50" s="10">
        <f>(SUMPRODUCT($D$6:$H$6*$D$7:$H$7/(1+$C50)^$D$9:$H$9)+$D$16*(1+G$47)/($C50-G$47)/(1+$C50)^$H$8-$D$24-$D$25+$D$26-$D$27)/$D$29</f>
        <v/>
      </c>
      <c r="H50" s="10">
        <f>(SUMPRODUCT($D$6:$H$6*$D$7:$H$7/(1+$C50)^$D$9:$H$9)+$D$16*(1+H$47)/($C50-H$47)/(1+$C50)^$H$8-$D$24-$D$25+$D$26-$D$27)/$D$29</f>
        <v/>
      </c>
    </row>
    <row r="51">
      <c r="C51" s="35">
        <f>$D$14+1*0.01</f>
        <v/>
      </c>
      <c r="D51" s="10">
        <f>(SUMPRODUCT($D$6:$H$6*$D$7:$H$7/(1+$C51)^$D$9:$H$9)+$D$16*(1+D$47)/($C51-D$47)/(1+$C51)^$H$8-$D$24-$D$25+$D$26-$D$27)/$D$29</f>
        <v/>
      </c>
      <c r="E51" s="10">
        <f>(SUMPRODUCT($D$6:$H$6*$D$7:$H$7/(1+$C51)^$D$9:$H$9)+$D$16*(1+E$47)/($C51-E$47)/(1+$C51)^$H$8-$D$24-$D$25+$D$26-$D$27)/$D$29</f>
        <v/>
      </c>
      <c r="F51" s="10">
        <f>(SUMPRODUCT($D$6:$H$6*$D$7:$H$7/(1+$C51)^$D$9:$H$9)+$D$16*(1+F$47)/($C51-F$47)/(1+$C51)^$H$8-$D$24-$D$25+$D$26-$D$27)/$D$29</f>
        <v/>
      </c>
      <c r="G51" s="10">
        <f>(SUMPRODUCT($D$6:$H$6*$D$7:$H$7/(1+$C51)^$D$9:$H$9)+$D$16*(1+G$47)/($C51-G$47)/(1+$C51)^$H$8-$D$24-$D$25+$D$26-$D$27)/$D$29</f>
        <v/>
      </c>
      <c r="H51" s="10">
        <f>(SUMPRODUCT($D$6:$H$6*$D$7:$H$7/(1+$C51)^$D$9:$H$9)+$D$16*(1+H$47)/($C51-H$47)/(1+$C51)^$H$8-$D$24-$D$25+$D$26-$D$27)/$D$29</f>
        <v/>
      </c>
    </row>
    <row r="52">
      <c r="C52" s="35">
        <f>$D$14+2*0.01</f>
        <v/>
      </c>
      <c r="D52" s="10">
        <f>(SUMPRODUCT($D$6:$H$6*$D$7:$H$7/(1+$C52)^$D$9:$H$9)+$D$16*(1+D$47)/($C52-D$47)/(1+$C52)^$H$8-$D$24-$D$25+$D$26-$D$27)/$D$29</f>
        <v/>
      </c>
      <c r="E52" s="10">
        <f>(SUMPRODUCT($D$6:$H$6*$D$7:$H$7/(1+$C52)^$D$9:$H$9)+$D$16*(1+E$47)/($C52-E$47)/(1+$C52)^$H$8-$D$24-$D$25+$D$26-$D$27)/$D$29</f>
        <v/>
      </c>
      <c r="F52" s="10">
        <f>(SUMPRODUCT($D$6:$H$6*$D$7:$H$7/(1+$C52)^$D$9:$H$9)+$D$16*(1+F$47)/($C52-F$47)/(1+$C52)^$H$8-$D$24-$D$25+$D$26-$D$27)/$D$29</f>
        <v/>
      </c>
      <c r="G52" s="10">
        <f>(SUMPRODUCT($D$6:$H$6*$D$7:$H$7/(1+$C52)^$D$9:$H$9)+$D$16*(1+G$47)/($C52-G$47)/(1+$C52)^$H$8-$D$24-$D$25+$D$26-$D$27)/$D$29</f>
        <v/>
      </c>
      <c r="H52" s="10">
        <f>(SUMPRODUCT($D$6:$H$6*$D$7:$H$7/(1+$C52)^$D$9:$H$9)+$D$16*(1+H$47)/($C52-H$47)/(1+$C52)^$H$8-$D$24-$D$25+$D$26-$D$27)/$D$29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4" customWidth="1" min="17" max="17"/>
  </cols>
  <sheetData>
    <row r="1">
      <c r="B1" s="1" t="inlineStr">
        <is>
          <t>Valuation por múltiplos</t>
        </is>
      </c>
    </row>
    <row r="2">
      <c r="B2" s="2" t="inlineStr">
        <is>
          <t>Últimos doze meses. A mediana das comparáveis é aplicada aos números da empresa.</t>
        </is>
      </c>
    </row>
    <row r="4">
      <c r="B4" s="4" t="inlineStr">
        <is>
          <t>Empresa (R$ milhões)</t>
        </is>
      </c>
      <c r="C4" s="5" t="inlineStr">
        <is>
          <t>Setor</t>
        </is>
      </c>
      <c r="D4" s="5" t="inlineStr">
        <is>
          <t>Preço</t>
        </is>
      </c>
      <c r="E4" s="5" t="inlineStr">
        <is>
          <t>Valor de mercado</t>
        </is>
      </c>
      <c r="F4" s="5" t="inlineStr">
        <is>
          <t>Dívida líquida</t>
        </is>
      </c>
      <c r="G4" s="5" t="inlineStr">
        <is>
          <t>Minoritários</t>
        </is>
      </c>
      <c r="H4" s="5" t="inlineStr">
        <is>
          <t>EV</t>
        </is>
      </c>
      <c r="I4" s="5" t="inlineStr">
        <is>
          <t>EBITDA</t>
        </is>
      </c>
      <c r="J4" s="5" t="inlineStr">
        <is>
          <t>EBIT</t>
        </is>
      </c>
      <c r="K4" s="5" t="inlineStr">
        <is>
          <t>Lucro</t>
        </is>
      </c>
      <c r="L4" s="5" t="inlineStr">
        <is>
          <t>Patrimônio</t>
        </is>
      </c>
      <c r="M4" s="5" t="inlineStr">
        <is>
          <t>EV/EBITDA</t>
        </is>
      </c>
      <c r="N4" s="5" t="inlineStr">
        <is>
          <t>EV/EBIT</t>
        </is>
      </c>
      <c r="O4" s="5" t="inlineStr">
        <is>
          <t>P/L</t>
        </is>
      </c>
      <c r="P4" s="5" t="inlineStr">
        <is>
          <t>P/VP</t>
        </is>
      </c>
    </row>
    <row r="5">
      <c r="B5" s="8" t="inlineStr">
        <is>
          <t>CSN (CSNA3)</t>
        </is>
      </c>
      <c r="C5" s="36" t="inlineStr">
        <is>
          <t>Siderurgia</t>
        </is>
      </c>
      <c r="D5" s="37" t="n">
        <v>6.36</v>
      </c>
      <c r="E5" s="38" t="n">
        <v>8433.9575</v>
      </c>
      <c r="F5" s="38" t="n">
        <v>39079.806</v>
      </c>
      <c r="G5" s="38" t="n">
        <v>3074.044</v>
      </c>
      <c r="H5" s="38">
        <f>E5+F5+G5</f>
        <v/>
      </c>
      <c r="I5" s="38" t="n">
        <v>7727.263</v>
      </c>
      <c r="J5" s="38" t="n">
        <v>3345.416</v>
      </c>
      <c r="K5" s="38" t="n">
        <v>-2626.882</v>
      </c>
      <c r="L5" s="38" t="n">
        <v>12166.332</v>
      </c>
      <c r="M5" s="39">
        <f>H5/I5</f>
        <v/>
      </c>
      <c r="N5" s="39">
        <f>H5/J5</f>
        <v/>
      </c>
      <c r="O5" s="39">
        <f>IF(K5&gt;0,E5/K5,"n.a.")</f>
        <v/>
      </c>
      <c r="P5" s="39">
        <f>E5/L5</f>
        <v/>
      </c>
    </row>
    <row r="6">
      <c r="B6" s="6" t="inlineStr">
        <is>
          <t>Vale (VALE3)</t>
        </is>
      </c>
      <c r="C6" s="36" t="inlineStr">
        <is>
          <t>Mineração</t>
        </is>
      </c>
      <c r="D6" s="37" t="n">
        <v>67.64</v>
      </c>
      <c r="E6" s="38" t="n">
        <v>275454.8362</v>
      </c>
      <c r="F6" s="38" t="n">
        <v>68192</v>
      </c>
      <c r="G6" s="38" t="n">
        <v>4832</v>
      </c>
      <c r="H6" s="38">
        <f>E6+F6+G6</f>
        <v/>
      </c>
      <c r="I6" s="38" t="n">
        <v>51933</v>
      </c>
      <c r="J6" s="38" t="n">
        <v>34110</v>
      </c>
      <c r="K6" s="38" t="n">
        <v>10369</v>
      </c>
      <c r="L6" s="38" t="n">
        <v>196635</v>
      </c>
      <c r="M6" s="39">
        <f>H6/I6</f>
        <v/>
      </c>
      <c r="N6" s="39">
        <f>H6/J6</f>
        <v/>
      </c>
      <c r="O6" s="39">
        <f>IF(K6&gt;0,E6/K6,"n.a.")</f>
        <v/>
      </c>
      <c r="P6" s="39">
        <f>E6/L6</f>
        <v/>
      </c>
    </row>
    <row r="7">
      <c r="B7" s="6" t="inlineStr">
        <is>
          <t>Gerdau (GGBR4)</t>
        </is>
      </c>
      <c r="C7" s="36" t="inlineStr">
        <is>
          <t>Siderurgia</t>
        </is>
      </c>
      <c r="D7" s="37" t="n">
        <v>24.77</v>
      </c>
      <c r="E7" s="38" t="n">
        <v>46089.0479</v>
      </c>
      <c r="F7" s="38" t="n">
        <v>8117.595</v>
      </c>
      <c r="G7" s="38" t="n">
        <v>190.194</v>
      </c>
      <c r="H7" s="38">
        <f>E7+F7+G7</f>
        <v/>
      </c>
      <c r="I7" s="38" t="n">
        <v>8730.516</v>
      </c>
      <c r="J7" s="38" t="n">
        <v>5034.141</v>
      </c>
      <c r="K7" s="38" t="n">
        <v>2237.081</v>
      </c>
      <c r="L7" s="38" t="n">
        <v>53544.554</v>
      </c>
      <c r="M7" s="39">
        <f>H7/I7</f>
        <v/>
      </c>
      <c r="N7" s="39">
        <f>H7/J7</f>
        <v/>
      </c>
      <c r="O7" s="39">
        <f>IF(K7&gt;0,E7/K7,"n.a.")</f>
        <v/>
      </c>
      <c r="P7" s="39">
        <f>E7/L7</f>
        <v/>
      </c>
    </row>
    <row r="8">
      <c r="B8" s="6" t="inlineStr">
        <is>
          <t>Usiminas (USIM5)</t>
        </is>
      </c>
      <c r="C8" s="36" t="inlineStr">
        <is>
          <t>Siderurgia</t>
        </is>
      </c>
      <c r="D8" s="37" t="n">
        <v>7.21</v>
      </c>
      <c r="E8" s="38" t="n">
        <v>8625.687900000001</v>
      </c>
      <c r="F8" s="38" t="n">
        <v>-599.249</v>
      </c>
      <c r="G8" s="38" t="n">
        <v>2893.937</v>
      </c>
      <c r="H8" s="38">
        <f>E8+F8+G8</f>
        <v/>
      </c>
      <c r="I8" s="38" t="n">
        <v>164.986</v>
      </c>
      <c r="J8" s="38" t="n">
        <v>-982.3099999999999</v>
      </c>
      <c r="K8" s="38" t="n">
        <v>-2320.418</v>
      </c>
      <c r="L8" s="38" t="n">
        <v>20751.154</v>
      </c>
      <c r="M8" s="39">
        <f>H8/I8</f>
        <v/>
      </c>
      <c r="N8" s="39">
        <f>H8/J8</f>
        <v/>
      </c>
      <c r="O8" s="39">
        <f>IF(K8&gt;0,E8/K8,"n.a.")</f>
        <v/>
      </c>
      <c r="P8" s="39">
        <f>E8/L8</f>
        <v/>
      </c>
    </row>
    <row r="9">
      <c r="B9" s="6" t="inlineStr">
        <is>
          <t>CSN Mineração (CMIN3)</t>
        </is>
      </c>
      <c r="C9" s="36" t="inlineStr">
        <is>
          <t>Mineração</t>
        </is>
      </c>
      <c r="D9" s="37" t="n">
        <v>5.06</v>
      </c>
      <c r="E9" s="38" t="n">
        <v>27336.3233</v>
      </c>
      <c r="F9" s="38" t="n">
        <v>1025.104</v>
      </c>
      <c r="G9" s="38" t="n">
        <v>0.19</v>
      </c>
      <c r="H9" s="38">
        <f>E9+F9+G9</f>
        <v/>
      </c>
      <c r="I9" s="38" t="n">
        <v>6003.736</v>
      </c>
      <c r="J9" s="38" t="n">
        <v>4642.024</v>
      </c>
      <c r="K9" s="38" t="n">
        <v>2333.063</v>
      </c>
      <c r="L9" s="38" t="n">
        <v>7339.411</v>
      </c>
      <c r="M9" s="39">
        <f>H9/I9</f>
        <v/>
      </c>
      <c r="N9" s="39">
        <f>H9/J9</f>
        <v/>
      </c>
      <c r="O9" s="39">
        <f>IF(K9&gt;0,E9/K9,"n.a.")</f>
        <v/>
      </c>
      <c r="P9" s="39">
        <f>E9/L9</f>
        <v/>
      </c>
    </row>
    <row r="10">
      <c r="B10" s="8" t="inlineStr">
        <is>
          <t>Mediana das comparáveis (sem a empresa)</t>
        </is>
      </c>
      <c r="M10" s="40">
        <f>MEDIAN(M6:M9)</f>
        <v/>
      </c>
      <c r="N10" s="40">
        <f>MEDIAN(N6:N9)</f>
        <v/>
      </c>
      <c r="O10" s="40">
        <f>MEDIAN(O6:O9)</f>
        <v/>
      </c>
      <c r="P10" s="40">
        <f>MEDIAN(P6:P9)</f>
        <v/>
      </c>
    </row>
    <row r="12">
      <c r="B12" s="34" t="inlineStr">
        <is>
          <t>Preço por ação implícito</t>
        </is>
      </c>
      <c r="C12" s="34" t="inlineStr">
        <is>
          <t>R$ / ação</t>
        </is>
      </c>
      <c r="D12" s="34" t="inlineStr">
        <is>
          <t>Como</t>
        </is>
      </c>
    </row>
    <row r="13">
      <c r="B13" t="inlineStr">
        <is>
          <t>Pelo EV/EBITDA das comparáveis</t>
        </is>
      </c>
      <c r="C13" s="37">
        <f>IF(I5&gt;0,(M10*I5-F5-G5)/(E5/D5),"n.a.")</f>
        <v/>
      </c>
      <c r="D13" s="2" t="inlineStr">
        <is>
          <t>Mediana x EBITDA, menos dívida líquida e minoritários</t>
        </is>
      </c>
    </row>
    <row r="14">
      <c r="B14" t="inlineStr">
        <is>
          <t>Pelo EV/EBIT das comparáveis</t>
        </is>
      </c>
      <c r="C14" s="37">
        <f>IF(J5&gt;0,(N10*J5-F5-G5)/(E5/D5),"n.a.")</f>
        <v/>
      </c>
      <c r="D14" s="2" t="inlineStr">
        <is>
          <t>Mediana x EBIT, menos dívida líquida e minoritários</t>
        </is>
      </c>
    </row>
    <row r="15">
      <c r="B15" t="inlineStr">
        <is>
          <t>Pelo P/L das comparáveis</t>
        </is>
      </c>
      <c r="C15" s="37">
        <f>IF(K5&gt;0,O10*K5/(E5/D5),"n.a.")</f>
        <v/>
      </c>
      <c r="D15" s="2" t="inlineStr">
        <is>
          <t>Mediana x lucro (não se aplica com prejuízo)</t>
        </is>
      </c>
    </row>
    <row r="16">
      <c r="B16" t="inlineStr">
        <is>
          <t>Pelo P/VP das comparáveis</t>
        </is>
      </c>
      <c r="C16" s="37">
        <f>P10*L5/(E5/D5)</f>
        <v/>
      </c>
      <c r="D16" s="2" t="inlineStr">
        <is>
          <t>Mediana x patrimônio dos controladores</t>
        </is>
      </c>
    </row>
    <row r="17">
      <c r="B17" t="inlineStr">
        <is>
          <t>Pelo fluxo de caixa descontado (aba DCF)</t>
        </is>
      </c>
      <c r="C17" s="37">
        <f>'DCF'!$D$30</f>
        <v/>
      </c>
      <c r="D17" s="2" t="inlineStr">
        <is>
          <t>Para comparar</t>
        </is>
      </c>
    </row>
    <row r="18">
      <c r="B18" t="inlineStr">
        <is>
          <t>Preço de mercado</t>
        </is>
      </c>
      <c r="C18" s="37">
        <f>D5</f>
        <v/>
      </c>
      <c r="D1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1">
      <c r="B1" s="1" t="inlineStr">
        <is>
          <t>Cenários e movimento do caixa</t>
        </is>
      </c>
    </row>
    <row r="2">
      <c r="B2" s="2" t="inlineStr">
        <is>
          <t>Troque o cenário na aba Premissas (célula D4): tudo abaixo e o resto da planilha seguem.</t>
        </is>
      </c>
    </row>
    <row r="4">
      <c r="B4" s="8" t="inlineStr">
        <is>
          <t>Cenário em uso</t>
        </is>
      </c>
      <c r="D4" s="8">
        <f>'Premissas'!D4</f>
        <v/>
      </c>
    </row>
    <row r="6">
      <c r="B6" s="4" t="inlineStr">
        <is>
          <t>Entradas e saídas de caixa</t>
        </is>
      </c>
      <c r="C6" s="5" t="n"/>
      <c r="D6" s="5" t="inlineStr">
        <is>
          <t>2026E</t>
        </is>
      </c>
      <c r="E6" s="5" t="inlineStr">
        <is>
          <t>2027E</t>
        </is>
      </c>
      <c r="F6" s="5" t="inlineStr">
        <is>
          <t>2028E</t>
        </is>
      </c>
      <c r="G6" s="5" t="inlineStr">
        <is>
          <t>2029E</t>
        </is>
      </c>
      <c r="H6" s="5" t="inlineStr">
        <is>
          <t>2030E</t>
        </is>
      </c>
    </row>
    <row r="7">
      <c r="B7" s="24" t="inlineStr">
        <is>
          <t>Entradas (cash in)</t>
        </is>
      </c>
      <c r="C7" s="25" t="n"/>
      <c r="D7" s="25" t="n"/>
      <c r="E7" s="25" t="n"/>
      <c r="F7" s="25" t="n"/>
      <c r="G7" s="25" t="n"/>
      <c r="H7" s="25" t="n"/>
    </row>
    <row r="8">
      <c r="B8" s="6" t="inlineStr">
        <is>
          <t>Caixa gerado pela operação (EBITDA sem equivalência)</t>
        </is>
      </c>
      <c r="D8" s="12">
        <f>'Projeção'!D12-'Projeção'!D11</f>
        <v/>
      </c>
      <c r="E8" s="12">
        <f>'Projeção'!E12-'Projeção'!E11</f>
        <v/>
      </c>
      <c r="F8" s="12">
        <f>'Projeção'!F12-'Projeção'!F11</f>
        <v/>
      </c>
      <c r="G8" s="12">
        <f>'Projeção'!G12-'Projeção'!G11</f>
        <v/>
      </c>
      <c r="H8" s="12">
        <f>'Projeção'!H12-'Projeção'!H11</f>
        <v/>
      </c>
    </row>
    <row r="9">
      <c r="B9" s="6" t="inlineStr">
        <is>
          <t>Rendimento do caixa</t>
        </is>
      </c>
      <c r="D9" s="12">
        <f>'Projeção'!C38*'Premissas'!$D$44</f>
        <v/>
      </c>
      <c r="E9" s="12">
        <f>'Projeção'!D38*'Premissas'!$D$44</f>
        <v/>
      </c>
      <c r="F9" s="12">
        <f>'Projeção'!E38*'Premissas'!$D$44</f>
        <v/>
      </c>
      <c r="G9" s="12">
        <f>'Projeção'!F38*'Premissas'!$D$44</f>
        <v/>
      </c>
      <c r="H9" s="12">
        <f>'Projeção'!G38*'Premissas'!$D$44</f>
        <v/>
      </c>
    </row>
    <row r="10">
      <c r="B10" s="6" t="inlineStr">
        <is>
          <t>Captação líquida de dívida (se positiva)</t>
        </is>
      </c>
      <c r="D10" s="12">
        <f>MAX(0,'Projeção'!D32)</f>
        <v/>
      </c>
      <c r="E10" s="12">
        <f>MAX(0,'Projeção'!E32)</f>
        <v/>
      </c>
      <c r="F10" s="12">
        <f>MAX(0,'Projeção'!F32)</f>
        <v/>
      </c>
      <c r="G10" s="12">
        <f>MAX(0,'Projeção'!G32)</f>
        <v/>
      </c>
      <c r="H10" s="12">
        <f>MAX(0,'Projeção'!H32)</f>
        <v/>
      </c>
    </row>
    <row r="11">
      <c r="B11" s="8" t="inlineStr">
        <is>
          <t>Total de entradas</t>
        </is>
      </c>
      <c r="D11" s="28">
        <f>D8+D9+D10</f>
        <v/>
      </c>
      <c r="E11" s="28">
        <f>E8+E9+E10</f>
        <v/>
      </c>
      <c r="F11" s="28">
        <f>F8+F9+F10</f>
        <v/>
      </c>
      <c r="G11" s="28">
        <f>G8+G9+G10</f>
        <v/>
      </c>
      <c r="H11" s="28">
        <f>H8+H9+H10</f>
        <v/>
      </c>
    </row>
    <row r="12">
      <c r="B12" s="24" t="inlineStr">
        <is>
          <t>Saídas (cash out)</t>
        </is>
      </c>
      <c r="C12" s="25" t="n"/>
      <c r="D12" s="25" t="n"/>
      <c r="E12" s="25" t="n"/>
      <c r="F12" s="25" t="n"/>
      <c r="G12" s="25" t="n"/>
      <c r="H12" s="25" t="n"/>
    </row>
    <row r="13">
      <c r="B13" s="6" t="inlineStr">
        <is>
          <t>Imposto de renda e CSLL</t>
        </is>
      </c>
      <c r="D13" s="12">
        <f>'Projeção'!D17</f>
        <v/>
      </c>
      <c r="E13" s="12">
        <f>'Projeção'!E17</f>
        <v/>
      </c>
      <c r="F13" s="12">
        <f>'Projeção'!F17</f>
        <v/>
      </c>
      <c r="G13" s="12">
        <f>'Projeção'!G17</f>
        <v/>
      </c>
      <c r="H13" s="12">
        <f>'Projeção'!H17</f>
        <v/>
      </c>
    </row>
    <row r="14">
      <c r="B14" s="6" t="inlineStr">
        <is>
          <t>Capex</t>
        </is>
      </c>
      <c r="D14" s="12">
        <f>'Projeção'!D22</f>
        <v/>
      </c>
      <c r="E14" s="12">
        <f>'Projeção'!E22</f>
        <v/>
      </c>
      <c r="F14" s="12">
        <f>'Projeção'!F22</f>
        <v/>
      </c>
      <c r="G14" s="12">
        <f>'Projeção'!G22</f>
        <v/>
      </c>
      <c r="H14" s="12">
        <f>'Projeção'!H22</f>
        <v/>
      </c>
    </row>
    <row r="15">
      <c r="B15" s="6" t="inlineStr">
        <is>
          <t>Investimento em capital de giro</t>
        </is>
      </c>
      <c r="D15" s="12">
        <f>'Projeção'!D28</f>
        <v/>
      </c>
      <c r="E15" s="12">
        <f>'Projeção'!E28</f>
        <v/>
      </c>
      <c r="F15" s="12">
        <f>'Projeção'!F28</f>
        <v/>
      </c>
      <c r="G15" s="12">
        <f>'Projeção'!G28</f>
        <v/>
      </c>
      <c r="H15" s="12">
        <f>'Projeção'!H28</f>
        <v/>
      </c>
    </row>
    <row r="16">
      <c r="B16" s="6" t="inlineStr">
        <is>
          <t>Juros da dívida</t>
        </is>
      </c>
      <c r="D16" s="12">
        <f>'Projeção'!C42*'Premissas'!$D$43</f>
        <v/>
      </c>
      <c r="E16" s="12">
        <f>'Projeção'!D42*'Premissas'!$D$43</f>
        <v/>
      </c>
      <c r="F16" s="12">
        <f>'Projeção'!E42*'Premissas'!$D$43</f>
        <v/>
      </c>
      <c r="G16" s="12">
        <f>'Projeção'!F42*'Premissas'!$D$43</f>
        <v/>
      </c>
      <c r="H16" s="12">
        <f>'Projeção'!G42*'Premissas'!$D$43</f>
        <v/>
      </c>
    </row>
    <row r="17">
      <c r="B17" s="6" t="inlineStr">
        <is>
          <t>Amortização líquida de dívida (se negativa a captação)</t>
        </is>
      </c>
      <c r="D17" s="12">
        <f>MAX(0,-'Projeção'!D32)</f>
        <v/>
      </c>
      <c r="E17" s="12">
        <f>MAX(0,-'Projeção'!E32)</f>
        <v/>
      </c>
      <c r="F17" s="12">
        <f>MAX(0,-'Projeção'!F32)</f>
        <v/>
      </c>
      <c r="G17" s="12">
        <f>MAX(0,-'Projeção'!G32)</f>
        <v/>
      </c>
      <c r="H17" s="12">
        <f>MAX(0,-'Projeção'!H32)</f>
        <v/>
      </c>
    </row>
    <row r="18">
      <c r="B18" s="6" t="inlineStr">
        <is>
          <t>Dividendos</t>
        </is>
      </c>
      <c r="D18" s="12">
        <f>'Projeção'!D34</f>
        <v/>
      </c>
      <c r="E18" s="12">
        <f>'Projeção'!E34</f>
        <v/>
      </c>
      <c r="F18" s="12">
        <f>'Projeção'!F34</f>
        <v/>
      </c>
      <c r="G18" s="12">
        <f>'Projeção'!G34</f>
        <v/>
      </c>
      <c r="H18" s="12">
        <f>'Projeção'!H34</f>
        <v/>
      </c>
    </row>
    <row r="19">
      <c r="B19" s="8" t="inlineStr">
        <is>
          <t>Total de saídas</t>
        </is>
      </c>
      <c r="D19" s="28">
        <f>SUM(D13:D18)</f>
        <v/>
      </c>
      <c r="E19" s="28">
        <f>SUM(E13:E18)</f>
        <v/>
      </c>
      <c r="F19" s="28">
        <f>SUM(F13:F18)</f>
        <v/>
      </c>
      <c r="G19" s="28">
        <f>SUM(G13:G18)</f>
        <v/>
      </c>
      <c r="H19" s="28">
        <f>SUM(H13:H18)</f>
        <v/>
      </c>
    </row>
    <row r="20">
      <c r="B20" s="24" t="inlineStr">
        <is>
          <t>Saldo</t>
        </is>
      </c>
      <c r="C20" s="25" t="n"/>
      <c r="D20" s="25" t="n"/>
      <c r="E20" s="25" t="n"/>
      <c r="F20" s="25" t="n"/>
      <c r="G20" s="25" t="n"/>
      <c r="H20" s="25" t="n"/>
    </row>
    <row r="21">
      <c r="B21" s="8" t="inlineStr">
        <is>
          <t>Entradas - saídas</t>
        </is>
      </c>
      <c r="D21" s="28">
        <f>D11-D19</f>
        <v/>
      </c>
      <c r="E21" s="28">
        <f>E11-E19</f>
        <v/>
      </c>
      <c r="F21" s="28">
        <f>F11-F19</f>
        <v/>
      </c>
      <c r="G21" s="28">
        <f>G11-G19</f>
        <v/>
      </c>
      <c r="H21" s="28">
        <f>H11-H19</f>
        <v/>
      </c>
    </row>
    <row r="22">
      <c r="B22" s="6" t="inlineStr">
        <is>
          <t>Caixa no fim do ano</t>
        </is>
      </c>
      <c r="D22" s="12">
        <f>'Projeção'!D38</f>
        <v/>
      </c>
      <c r="E22" s="12">
        <f>'Projeção'!E38</f>
        <v/>
      </c>
      <c r="F22" s="12">
        <f>'Projeção'!F38</f>
        <v/>
      </c>
      <c r="G22" s="12">
        <f>'Projeção'!G38</f>
        <v/>
      </c>
      <c r="H22" s="12">
        <f>'Projeção'!H38</f>
        <v/>
      </c>
    </row>
    <row r="23">
      <c r="B23" s="6" t="inlineStr">
        <is>
          <t>Checagem: bate com a variação de caixa da projeção (zero)</t>
        </is>
      </c>
      <c r="D23" s="12">
        <f>ROUND(D21-'Projeção'!D35,3)</f>
        <v/>
      </c>
      <c r="E23" s="12">
        <f>ROUND(E21-'Projeção'!E35,3)</f>
        <v/>
      </c>
      <c r="F23" s="12">
        <f>ROUND(F21-'Projeção'!F35,3)</f>
        <v/>
      </c>
      <c r="G23" s="12">
        <f>ROUND(G21-'Projeção'!G35,3)</f>
        <v/>
      </c>
      <c r="H23" s="12">
        <f>ROUND(H21-'Projeção'!H35,3)</f>
        <v/>
      </c>
    </row>
    <row r="26">
      <c r="B26" s="34" t="inlineStr">
        <is>
          <t>Comparativo dos cenários (calculado pelo modelo)</t>
        </is>
      </c>
      <c r="C26" s="34" t="inlineStr"/>
      <c r="D26" s="34" t="inlineStr">
        <is>
          <t>Pessimista</t>
        </is>
      </c>
      <c r="E26" s="34" t="inlineStr">
        <is>
          <t>Base</t>
        </is>
      </c>
      <c r="F26" s="34" t="inlineStr">
        <is>
          <t>Otimista</t>
        </is>
      </c>
    </row>
    <row r="27">
      <c r="B27" t="inlineStr">
        <is>
          <t>Preço justo por ação</t>
        </is>
      </c>
      <c r="D27" s="10" t="n">
        <v>-8.585745126222559</v>
      </c>
      <c r="E27" s="10" t="n">
        <v>6.236118256124175</v>
      </c>
      <c r="F27" s="10" t="n">
        <v>21.05798163847093</v>
      </c>
    </row>
    <row r="28">
      <c r="B28" t="inlineStr">
        <is>
          <t>Valor da empresa (EV)</t>
        </is>
      </c>
      <c r="D28" s="12" t="n">
        <v>21958.06776116153</v>
      </c>
      <c r="E28" s="12" t="n">
        <v>41613.2503791249</v>
      </c>
      <c r="F28" s="12" t="n">
        <v>61268.43299708831</v>
      </c>
    </row>
    <row r="29">
      <c r="B29" t="inlineStr">
        <is>
          <t>Valor do acionista</t>
        </is>
      </c>
      <c r="D29" s="12" t="n">
        <v>-11385.50423883847</v>
      </c>
      <c r="E29" s="12" t="n">
        <v>8269.678379124907</v>
      </c>
      <c r="F29" s="12" t="n">
        <v>27924.86099708831</v>
      </c>
    </row>
    <row r="30">
      <c r="B30" t="inlineStr">
        <is>
          <t>Receita 2030E</t>
        </is>
      </c>
      <c r="D30" s="12" t="n">
        <v>49809.67443998829</v>
      </c>
      <c r="E30" s="12" t="n">
        <v>52317.71444200179</v>
      </c>
      <c r="F30" s="12" t="n">
        <v>54825.7544440153</v>
      </c>
    </row>
    <row r="31">
      <c r="B31" t="inlineStr">
        <is>
          <t>Margem EBITDA 2030E</t>
        </is>
      </c>
      <c r="D31" s="11" t="n">
        <v>0.1659891119271772</v>
      </c>
      <c r="E31" s="11" t="n">
        <v>0.2037413117389137</v>
      </c>
      <c r="F31" s="11" t="n">
        <v>0.2380395133977007</v>
      </c>
    </row>
    <row r="32">
      <c r="B32" t="inlineStr">
        <is>
          <t>Caixa no fim de 2030E</t>
        </is>
      </c>
      <c r="D32" s="12" t="n">
        <v>-9080.768025350386</v>
      </c>
      <c r="E32" s="12" t="n">
        <v>-392.5928231958028</v>
      </c>
      <c r="F32" s="12" t="n">
        <v>6719.200591698303</v>
      </c>
    </row>
    <row r="33">
      <c r="B33" t="inlineStr">
        <is>
          <t>Dívida líquida / EBITDA 2030E</t>
        </is>
      </c>
      <c r="D33" s="26" t="n">
        <v>7.499557060036124</v>
      </c>
      <c r="E33" s="26" t="n">
        <v>5.001945814883486</v>
      </c>
      <c r="F33" s="26" t="n">
        <v>3.540450772024616</v>
      </c>
    </row>
    <row r="35">
      <c r="B35" t="inlineStr">
        <is>
          <t>Preço justo na planilha viva, no cenário em uso</t>
        </is>
      </c>
      <c r="D35" s="9">
        <f>'DCF'!$D$30</f>
        <v/>
      </c>
    </row>
    <row r="36">
      <c r="B36" t="inlineStr">
        <is>
          <t>Diferença para o comparativo acima (zero se as premissas não mudaram)</t>
        </is>
      </c>
      <c r="D36" s="27">
        <f>ROUND(D35-INDEX(D27:F27,'Premissas'!$D$5),2)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2026-10-09T12:34:45Z</dcterms:created>
  <dcterms:modified xsi:type="dcterms:W3CDTF">2026-10-09T12:34:45Z</dcterms:modified>
</cp:coreProperties>
</file>